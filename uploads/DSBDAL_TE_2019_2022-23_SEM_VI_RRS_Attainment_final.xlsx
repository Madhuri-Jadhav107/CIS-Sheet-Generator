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13_ncr:1_{E9A13FB4-1328-48E9-BE06-58A0864A3A40}" xr6:coauthVersionLast="47" xr6:coauthVersionMax="47" xr10:uidLastSave="{00000000-0000-0000-0000-000000000000}"/>
  <bookViews>
    <workbookView xWindow="-108" yWindow="-108" windowWidth="23256" windowHeight="12456" tabRatio="832" activeTab="4" xr2:uid="{00000000-000D-0000-FFFF-FFFF00000000}"/>
  </bookViews>
  <sheets>
    <sheet name="University PR marks" sheetId="1" r:id="rId1"/>
    <sheet name="TW marks" sheetId="2" r:id="rId2"/>
    <sheet name="PO attainment" sheetId="3" r:id="rId3"/>
    <sheet name="Course Exit Survey" sheetId="4" r:id="rId4"/>
    <sheet name="CO Attainment" sheetId="5" r:id="rId5"/>
    <sheet name="PSO Attain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1" i="3" l="1"/>
  <c r="AD11" i="3" s="1"/>
  <c r="AC12" i="3"/>
  <c r="AD12" i="3" s="1"/>
  <c r="AC13" i="3"/>
  <c r="AD13" i="3" s="1"/>
  <c r="AC14" i="3"/>
  <c r="AD14" i="3" s="1"/>
  <c r="AC15" i="3"/>
  <c r="AD15" i="3" s="1"/>
  <c r="AC16" i="3"/>
  <c r="AD16" i="3" s="1"/>
  <c r="AC17" i="3"/>
  <c r="AD17" i="3" s="1"/>
  <c r="AC18" i="3"/>
  <c r="AD18" i="3" s="1"/>
  <c r="AC19" i="3"/>
  <c r="AD19" i="3" s="1"/>
  <c r="AC20" i="3"/>
  <c r="AD20" i="3" s="1"/>
  <c r="AC21" i="3"/>
  <c r="AD21" i="3" s="1"/>
  <c r="AC22" i="3"/>
  <c r="AD22" i="3" s="1"/>
  <c r="AC23" i="3"/>
  <c r="AD23" i="3" s="1"/>
  <c r="AC24" i="3"/>
  <c r="AD24" i="3" s="1"/>
  <c r="AC25" i="3"/>
  <c r="AD25" i="3" s="1"/>
  <c r="AC26" i="3"/>
  <c r="AD26" i="3" s="1"/>
  <c r="AC27" i="3"/>
  <c r="AD27" i="3" s="1"/>
  <c r="AC28" i="3"/>
  <c r="AD28" i="3" s="1"/>
  <c r="AC29" i="3"/>
  <c r="AD29" i="3" s="1"/>
  <c r="AC30" i="3"/>
  <c r="AD30" i="3" s="1"/>
  <c r="AC31" i="3"/>
  <c r="AD31" i="3" s="1"/>
  <c r="AC32" i="3"/>
  <c r="AD32" i="3" s="1"/>
  <c r="AC33" i="3"/>
  <c r="AD33" i="3" s="1"/>
  <c r="AC34" i="3"/>
  <c r="AD34" i="3" s="1"/>
  <c r="AC35" i="3"/>
  <c r="AD35" i="3" s="1"/>
  <c r="AC36" i="3"/>
  <c r="AD36" i="3" s="1"/>
  <c r="AC37" i="3"/>
  <c r="AD37" i="3" s="1"/>
  <c r="AC38" i="3"/>
  <c r="AD38" i="3" s="1"/>
  <c r="AC39" i="3"/>
  <c r="AD39" i="3" s="1"/>
  <c r="AC40" i="3"/>
  <c r="AD40" i="3" s="1"/>
  <c r="AC41" i="3"/>
  <c r="AD41" i="3" s="1"/>
  <c r="AC42" i="3"/>
  <c r="AD42" i="3" s="1"/>
  <c r="AC43" i="3"/>
  <c r="AD43" i="3" s="1"/>
  <c r="AC44" i="3"/>
  <c r="AD44" i="3" s="1"/>
  <c r="AC45" i="3"/>
  <c r="AD45" i="3" s="1"/>
  <c r="AC46" i="3"/>
  <c r="AD46" i="3" s="1"/>
  <c r="AC47" i="3"/>
  <c r="AD47" i="3" s="1"/>
  <c r="AC48" i="3"/>
  <c r="AD48" i="3" s="1"/>
  <c r="AC49" i="3"/>
  <c r="AD49" i="3" s="1"/>
  <c r="AC50" i="3"/>
  <c r="AD50" i="3" s="1"/>
  <c r="AC51" i="3"/>
  <c r="AD51" i="3" s="1"/>
  <c r="AC52" i="3"/>
  <c r="AD52" i="3" s="1"/>
  <c r="AC53" i="3"/>
  <c r="AD53" i="3" s="1"/>
  <c r="AC54" i="3"/>
  <c r="AD54" i="3" s="1"/>
  <c r="AC55" i="3"/>
  <c r="AD55" i="3" s="1"/>
  <c r="AC56" i="3"/>
  <c r="AD56" i="3" s="1"/>
  <c r="AC57" i="3"/>
  <c r="AD57" i="3" s="1"/>
  <c r="AC58" i="3"/>
  <c r="AD58" i="3" s="1"/>
  <c r="AC59" i="3"/>
  <c r="AD59" i="3" s="1"/>
  <c r="AC60" i="3"/>
  <c r="AD60" i="3" s="1"/>
  <c r="AC61" i="3"/>
  <c r="AD61" i="3" s="1"/>
  <c r="AC62" i="3"/>
  <c r="AD62" i="3" s="1"/>
  <c r="AC63" i="3"/>
  <c r="AD63" i="3" s="1"/>
  <c r="AC64" i="3"/>
  <c r="AD64" i="3" s="1"/>
  <c r="AC65" i="3"/>
  <c r="AD65" i="3" s="1"/>
  <c r="AC66" i="3"/>
  <c r="AD66" i="3" s="1"/>
  <c r="AC67" i="3"/>
  <c r="AD67" i="3" s="1"/>
  <c r="AC68" i="3"/>
  <c r="AD68" i="3" s="1"/>
  <c r="AC69" i="3"/>
  <c r="AD69" i="3" s="1"/>
  <c r="AC70" i="3"/>
  <c r="AD70" i="3" s="1"/>
  <c r="AC71" i="3"/>
  <c r="AD71" i="3" s="1"/>
  <c r="AC72" i="3"/>
  <c r="AD72" i="3" s="1"/>
  <c r="AC73" i="3"/>
  <c r="AD73" i="3" s="1"/>
  <c r="AC74" i="3"/>
  <c r="AD74" i="3" s="1"/>
  <c r="AC75" i="3"/>
  <c r="AD75" i="3" s="1"/>
  <c r="AC76" i="3"/>
  <c r="AD76" i="3" s="1"/>
  <c r="AC77" i="3"/>
  <c r="AD77" i="3" s="1"/>
  <c r="AC78" i="3"/>
  <c r="AD78" i="3" s="1"/>
  <c r="AC79" i="3"/>
  <c r="AD79" i="3" s="1"/>
  <c r="AC80" i="3"/>
  <c r="AD80" i="3" s="1"/>
  <c r="AC81" i="3"/>
  <c r="AD81" i="3" s="1"/>
  <c r="AC82" i="3"/>
  <c r="AD82" i="3" s="1"/>
  <c r="AC83" i="3"/>
  <c r="AD83" i="3" s="1"/>
  <c r="AC84" i="3"/>
  <c r="AD84" i="3" s="1"/>
  <c r="AC85" i="3"/>
  <c r="AD85" i="3" s="1"/>
  <c r="AC86" i="3"/>
  <c r="AD86" i="3" s="1"/>
  <c r="AC87" i="3"/>
  <c r="AD87" i="3" s="1"/>
  <c r="AC88" i="3"/>
  <c r="AD88" i="3" s="1"/>
  <c r="AC89" i="3"/>
  <c r="AD89" i="3" s="1"/>
  <c r="AC90" i="3"/>
  <c r="AD90" i="3" s="1"/>
  <c r="X11" i="3"/>
  <c r="Y11" i="3" s="1"/>
  <c r="X12" i="3"/>
  <c r="Y12" i="3" s="1"/>
  <c r="X13" i="3"/>
  <c r="Y13" i="3" s="1"/>
  <c r="X14" i="3"/>
  <c r="Y14" i="3" s="1"/>
  <c r="X15" i="3"/>
  <c r="Y15" i="3" s="1"/>
  <c r="X16" i="3"/>
  <c r="Y16" i="3" s="1"/>
  <c r="X17" i="3"/>
  <c r="Y17" i="3" s="1"/>
  <c r="X18" i="3"/>
  <c r="Y18" i="3" s="1"/>
  <c r="X19" i="3"/>
  <c r="Y19" i="3" s="1"/>
  <c r="X20" i="3"/>
  <c r="Y20" i="3" s="1"/>
  <c r="X21" i="3"/>
  <c r="Y21" i="3" s="1"/>
  <c r="X22" i="3"/>
  <c r="Y22" i="3" s="1"/>
  <c r="X23" i="3"/>
  <c r="Y23" i="3" s="1"/>
  <c r="X24" i="3"/>
  <c r="Y24" i="3" s="1"/>
  <c r="X25" i="3"/>
  <c r="Y25" i="3" s="1"/>
  <c r="X26" i="3"/>
  <c r="Y26" i="3" s="1"/>
  <c r="X27" i="3"/>
  <c r="Y27" i="3" s="1"/>
  <c r="X28" i="3"/>
  <c r="Y28" i="3" s="1"/>
  <c r="X29" i="3"/>
  <c r="Y29" i="3" s="1"/>
  <c r="X30" i="3"/>
  <c r="Y30" i="3" s="1"/>
  <c r="X31" i="3"/>
  <c r="Y31" i="3" s="1"/>
  <c r="X32" i="3"/>
  <c r="Y32" i="3" s="1"/>
  <c r="X33" i="3"/>
  <c r="Y33" i="3" s="1"/>
  <c r="X34" i="3"/>
  <c r="Y34" i="3" s="1"/>
  <c r="X35" i="3"/>
  <c r="Y35" i="3" s="1"/>
  <c r="X36" i="3"/>
  <c r="Y36" i="3" s="1"/>
  <c r="X37" i="3"/>
  <c r="Y37" i="3" s="1"/>
  <c r="X38" i="3"/>
  <c r="Y38" i="3" s="1"/>
  <c r="X39" i="3"/>
  <c r="Y39" i="3" s="1"/>
  <c r="X40" i="3"/>
  <c r="Y40" i="3" s="1"/>
  <c r="X41" i="3"/>
  <c r="Y41" i="3" s="1"/>
  <c r="X42" i="3"/>
  <c r="Y42" i="3" s="1"/>
  <c r="X43" i="3"/>
  <c r="Y43" i="3" s="1"/>
  <c r="X44" i="3"/>
  <c r="Y44" i="3" s="1"/>
  <c r="X45" i="3"/>
  <c r="Y45" i="3" s="1"/>
  <c r="X46" i="3"/>
  <c r="Y46" i="3" s="1"/>
  <c r="X47" i="3"/>
  <c r="Y47" i="3" s="1"/>
  <c r="X48" i="3"/>
  <c r="Y48" i="3" s="1"/>
  <c r="X49" i="3"/>
  <c r="Y49" i="3" s="1"/>
  <c r="X50" i="3"/>
  <c r="Y50" i="3" s="1"/>
  <c r="X51" i="3"/>
  <c r="Y51" i="3" s="1"/>
  <c r="X52" i="3"/>
  <c r="Y52" i="3" s="1"/>
  <c r="X53" i="3"/>
  <c r="Y53" i="3" s="1"/>
  <c r="X54" i="3"/>
  <c r="Y54" i="3" s="1"/>
  <c r="X55" i="3"/>
  <c r="Y55" i="3" s="1"/>
  <c r="X56" i="3"/>
  <c r="Y56" i="3" s="1"/>
  <c r="X57" i="3"/>
  <c r="Y57" i="3" s="1"/>
  <c r="X58" i="3"/>
  <c r="Y58" i="3" s="1"/>
  <c r="X59" i="3"/>
  <c r="Y59" i="3" s="1"/>
  <c r="X60" i="3"/>
  <c r="Y60" i="3" s="1"/>
  <c r="X61" i="3"/>
  <c r="Y61" i="3" s="1"/>
  <c r="X62" i="3"/>
  <c r="Y62" i="3" s="1"/>
  <c r="X63" i="3"/>
  <c r="Y63" i="3" s="1"/>
  <c r="X64" i="3"/>
  <c r="Y64" i="3" s="1"/>
  <c r="X65" i="3"/>
  <c r="Y65" i="3" s="1"/>
  <c r="X66" i="3"/>
  <c r="Y66" i="3" s="1"/>
  <c r="X67" i="3"/>
  <c r="Y67" i="3" s="1"/>
  <c r="X68" i="3"/>
  <c r="Y68" i="3" s="1"/>
  <c r="X69" i="3"/>
  <c r="Y69" i="3" s="1"/>
  <c r="X70" i="3"/>
  <c r="Y70" i="3" s="1"/>
  <c r="X71" i="3"/>
  <c r="Y71" i="3" s="1"/>
  <c r="X72" i="3"/>
  <c r="Y72" i="3" s="1"/>
  <c r="X73" i="3"/>
  <c r="Y73" i="3" s="1"/>
  <c r="X74" i="3"/>
  <c r="Y74" i="3" s="1"/>
  <c r="X75" i="3"/>
  <c r="Y75" i="3" s="1"/>
  <c r="X76" i="3"/>
  <c r="Y76" i="3" s="1"/>
  <c r="X77" i="3"/>
  <c r="Y77" i="3" s="1"/>
  <c r="X78" i="3"/>
  <c r="Y78" i="3" s="1"/>
  <c r="X79" i="3"/>
  <c r="Y79" i="3" s="1"/>
  <c r="X80" i="3"/>
  <c r="Y80" i="3" s="1"/>
  <c r="X81" i="3"/>
  <c r="Y81" i="3" s="1"/>
  <c r="X82" i="3"/>
  <c r="Y82" i="3" s="1"/>
  <c r="X83" i="3"/>
  <c r="Y83" i="3" s="1"/>
  <c r="X84" i="3"/>
  <c r="Y84" i="3" s="1"/>
  <c r="X85" i="3"/>
  <c r="Y85" i="3" s="1"/>
  <c r="X86" i="3"/>
  <c r="Y86" i="3" s="1"/>
  <c r="X87" i="3"/>
  <c r="Y87" i="3" s="1"/>
  <c r="X88" i="3"/>
  <c r="Y88" i="3" s="1"/>
  <c r="X89" i="3"/>
  <c r="Y89" i="3" s="1"/>
  <c r="X90" i="3"/>
  <c r="Y90" i="3" s="1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P11" i="3"/>
  <c r="Q11" i="3" s="1"/>
  <c r="P12" i="3"/>
  <c r="Q12" i="3" s="1"/>
  <c r="P13" i="3"/>
  <c r="Q13" i="3" s="1"/>
  <c r="P14" i="3"/>
  <c r="Q14" i="3" s="1"/>
  <c r="P15" i="3"/>
  <c r="Q15" i="3" s="1"/>
  <c r="P16" i="3"/>
  <c r="Q16" i="3" s="1"/>
  <c r="P17" i="3"/>
  <c r="Q17" i="3" s="1"/>
  <c r="P18" i="3"/>
  <c r="Q18" i="3" s="1"/>
  <c r="P19" i="3"/>
  <c r="Q19" i="3" s="1"/>
  <c r="P20" i="3"/>
  <c r="Q20" i="3" s="1"/>
  <c r="P21" i="3"/>
  <c r="Q21" i="3" s="1"/>
  <c r="P22" i="3"/>
  <c r="Q22" i="3" s="1"/>
  <c r="P23" i="3"/>
  <c r="Q23" i="3" s="1"/>
  <c r="P24" i="3"/>
  <c r="Q24" i="3" s="1"/>
  <c r="P25" i="3"/>
  <c r="Q25" i="3" s="1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P41" i="3"/>
  <c r="Q41" i="3" s="1"/>
  <c r="P42" i="3"/>
  <c r="Q42" i="3" s="1"/>
  <c r="P43" i="3"/>
  <c r="Q43" i="3" s="1"/>
  <c r="P44" i="3"/>
  <c r="Q44" i="3" s="1"/>
  <c r="P45" i="3"/>
  <c r="Q45" i="3" s="1"/>
  <c r="P46" i="3"/>
  <c r="Q46" i="3" s="1"/>
  <c r="P47" i="3"/>
  <c r="Q47" i="3" s="1"/>
  <c r="P48" i="3"/>
  <c r="Q48" i="3" s="1"/>
  <c r="P49" i="3"/>
  <c r="Q49" i="3" s="1"/>
  <c r="P50" i="3"/>
  <c r="Q50" i="3" s="1"/>
  <c r="P51" i="3"/>
  <c r="Q51" i="3" s="1"/>
  <c r="P52" i="3"/>
  <c r="Q52" i="3" s="1"/>
  <c r="P53" i="3"/>
  <c r="Q53" i="3" s="1"/>
  <c r="P54" i="3"/>
  <c r="Q54" i="3" s="1"/>
  <c r="P55" i="3"/>
  <c r="Q55" i="3" s="1"/>
  <c r="P56" i="3"/>
  <c r="Q56" i="3" s="1"/>
  <c r="P57" i="3"/>
  <c r="Q57" i="3" s="1"/>
  <c r="P58" i="3"/>
  <c r="Q58" i="3" s="1"/>
  <c r="P59" i="3"/>
  <c r="Q59" i="3" s="1"/>
  <c r="P60" i="3"/>
  <c r="Q60" i="3" s="1"/>
  <c r="P61" i="3"/>
  <c r="Q61" i="3" s="1"/>
  <c r="P62" i="3"/>
  <c r="Q62" i="3" s="1"/>
  <c r="P63" i="3"/>
  <c r="Q63" i="3" s="1"/>
  <c r="P64" i="3"/>
  <c r="Q64" i="3" s="1"/>
  <c r="P65" i="3"/>
  <c r="Q65" i="3" s="1"/>
  <c r="P66" i="3"/>
  <c r="Q66" i="3" s="1"/>
  <c r="P67" i="3"/>
  <c r="Q67" i="3" s="1"/>
  <c r="P68" i="3"/>
  <c r="Q68" i="3" s="1"/>
  <c r="P69" i="3"/>
  <c r="Q69" i="3" s="1"/>
  <c r="P70" i="3"/>
  <c r="Q70" i="3" s="1"/>
  <c r="P71" i="3"/>
  <c r="Q71" i="3" s="1"/>
  <c r="P72" i="3"/>
  <c r="Q72" i="3" s="1"/>
  <c r="P73" i="3"/>
  <c r="Q73" i="3" s="1"/>
  <c r="P74" i="3"/>
  <c r="Q74" i="3" s="1"/>
  <c r="P75" i="3"/>
  <c r="Q75" i="3" s="1"/>
  <c r="P76" i="3"/>
  <c r="Q76" i="3" s="1"/>
  <c r="P77" i="3"/>
  <c r="Q77" i="3" s="1"/>
  <c r="P78" i="3"/>
  <c r="Q78" i="3" s="1"/>
  <c r="P79" i="3"/>
  <c r="Q79" i="3" s="1"/>
  <c r="P80" i="3"/>
  <c r="Q80" i="3" s="1"/>
  <c r="P81" i="3"/>
  <c r="Q81" i="3" s="1"/>
  <c r="P82" i="3"/>
  <c r="Q82" i="3" s="1"/>
  <c r="P83" i="3"/>
  <c r="Q83" i="3" s="1"/>
  <c r="P84" i="3"/>
  <c r="Q84" i="3" s="1"/>
  <c r="P85" i="3"/>
  <c r="Q85" i="3" s="1"/>
  <c r="P86" i="3"/>
  <c r="Q86" i="3" s="1"/>
  <c r="P87" i="3"/>
  <c r="Q87" i="3" s="1"/>
  <c r="P88" i="3"/>
  <c r="Q88" i="3" s="1"/>
  <c r="P89" i="3"/>
  <c r="Q89" i="3" s="1"/>
  <c r="P90" i="3"/>
  <c r="Q90" i="3" s="1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F84" i="2"/>
  <c r="J84" i="2"/>
  <c r="N84" i="2"/>
  <c r="R84" i="2"/>
  <c r="V84" i="2"/>
  <c r="Z84" i="2"/>
  <c r="AD84" i="2"/>
  <c r="AH84" i="2"/>
  <c r="AL84" i="2"/>
  <c r="AP84" i="2"/>
  <c r="AT84" i="2"/>
  <c r="AX84" i="2"/>
  <c r="BB84" i="2"/>
  <c r="BF84" i="2"/>
  <c r="BJ84" i="2"/>
  <c r="F85" i="2"/>
  <c r="J85" i="2"/>
  <c r="N85" i="2"/>
  <c r="R85" i="2"/>
  <c r="V85" i="2"/>
  <c r="Z85" i="2"/>
  <c r="AD85" i="2"/>
  <c r="AH85" i="2"/>
  <c r="AL85" i="2"/>
  <c r="AP85" i="2"/>
  <c r="AT85" i="2"/>
  <c r="AX85" i="2"/>
  <c r="BB85" i="2"/>
  <c r="BF85" i="2"/>
  <c r="BJ85" i="2"/>
  <c r="F86" i="2"/>
  <c r="J86" i="2"/>
  <c r="N86" i="2"/>
  <c r="R86" i="2"/>
  <c r="V86" i="2"/>
  <c r="Z86" i="2"/>
  <c r="AD86" i="2"/>
  <c r="AH86" i="2"/>
  <c r="AL86" i="2"/>
  <c r="AP86" i="2"/>
  <c r="AT86" i="2"/>
  <c r="AX86" i="2"/>
  <c r="BB86" i="2"/>
  <c r="BF86" i="2"/>
  <c r="BJ86" i="2"/>
  <c r="F87" i="2"/>
  <c r="J87" i="2"/>
  <c r="N87" i="2"/>
  <c r="R87" i="2"/>
  <c r="V87" i="2"/>
  <c r="Z87" i="2"/>
  <c r="AD87" i="2"/>
  <c r="AH87" i="2"/>
  <c r="AL87" i="2"/>
  <c r="AP87" i="2"/>
  <c r="AT87" i="2"/>
  <c r="AX87" i="2"/>
  <c r="BB87" i="2"/>
  <c r="BF87" i="2"/>
  <c r="BJ87" i="2"/>
  <c r="F88" i="2"/>
  <c r="J88" i="2"/>
  <c r="N88" i="2"/>
  <c r="R88" i="2"/>
  <c r="V88" i="2"/>
  <c r="Z88" i="2"/>
  <c r="AD88" i="2"/>
  <c r="AH88" i="2"/>
  <c r="AL88" i="2"/>
  <c r="AP88" i="2"/>
  <c r="AT88" i="2"/>
  <c r="AX88" i="2"/>
  <c r="BB88" i="2"/>
  <c r="BF88" i="2"/>
  <c r="BJ88" i="2"/>
  <c r="F89" i="2"/>
  <c r="BK89" i="2" s="1"/>
  <c r="J89" i="2"/>
  <c r="N89" i="2"/>
  <c r="R89" i="2"/>
  <c r="V89" i="2"/>
  <c r="Z89" i="2"/>
  <c r="AD89" i="2"/>
  <c r="AH89" i="2"/>
  <c r="AL89" i="2"/>
  <c r="AP89" i="2"/>
  <c r="AT89" i="2"/>
  <c r="AX89" i="2"/>
  <c r="BB89" i="2"/>
  <c r="BF89" i="2"/>
  <c r="BJ89" i="2"/>
  <c r="F90" i="2"/>
  <c r="J90" i="2"/>
  <c r="N90" i="2"/>
  <c r="R90" i="2"/>
  <c r="V90" i="2"/>
  <c r="Z90" i="2"/>
  <c r="AD90" i="2"/>
  <c r="AH90" i="2"/>
  <c r="AL90" i="2"/>
  <c r="AP90" i="2"/>
  <c r="AT90" i="2"/>
  <c r="AX90" i="2"/>
  <c r="BB90" i="2"/>
  <c r="BF90" i="2"/>
  <c r="BJ90" i="2"/>
  <c r="F73" i="2"/>
  <c r="J73" i="2"/>
  <c r="N73" i="2"/>
  <c r="R73" i="2"/>
  <c r="V73" i="2"/>
  <c r="Z73" i="2"/>
  <c r="AD73" i="2"/>
  <c r="AH73" i="2"/>
  <c r="AL73" i="2"/>
  <c r="AP73" i="2"/>
  <c r="AT73" i="2"/>
  <c r="AX73" i="2"/>
  <c r="BB73" i="2"/>
  <c r="BF73" i="2"/>
  <c r="BJ73" i="2"/>
  <c r="F74" i="2"/>
  <c r="J74" i="2"/>
  <c r="N74" i="2"/>
  <c r="R74" i="2"/>
  <c r="V74" i="2"/>
  <c r="Z74" i="2"/>
  <c r="AD74" i="2"/>
  <c r="AH74" i="2"/>
  <c r="AL74" i="2"/>
  <c r="AP74" i="2"/>
  <c r="AT74" i="2"/>
  <c r="AX74" i="2"/>
  <c r="BB74" i="2"/>
  <c r="BF74" i="2"/>
  <c r="BJ74" i="2"/>
  <c r="F75" i="2"/>
  <c r="J75" i="2"/>
  <c r="N75" i="2"/>
  <c r="R75" i="2"/>
  <c r="V75" i="2"/>
  <c r="Z75" i="2"/>
  <c r="AD75" i="2"/>
  <c r="AH75" i="2"/>
  <c r="AL75" i="2"/>
  <c r="AP75" i="2"/>
  <c r="AT75" i="2"/>
  <c r="AX75" i="2"/>
  <c r="BB75" i="2"/>
  <c r="BF75" i="2"/>
  <c r="BJ75" i="2"/>
  <c r="F76" i="2"/>
  <c r="J76" i="2"/>
  <c r="N76" i="2"/>
  <c r="R76" i="2"/>
  <c r="V76" i="2"/>
  <c r="Z76" i="2"/>
  <c r="AD76" i="2"/>
  <c r="AH76" i="2"/>
  <c r="AL76" i="2"/>
  <c r="AP76" i="2"/>
  <c r="AT76" i="2"/>
  <c r="AX76" i="2"/>
  <c r="BB76" i="2"/>
  <c r="BF76" i="2"/>
  <c r="BJ76" i="2"/>
  <c r="F77" i="2"/>
  <c r="J77" i="2"/>
  <c r="N77" i="2"/>
  <c r="R77" i="2"/>
  <c r="V77" i="2"/>
  <c r="Z77" i="2"/>
  <c r="AD77" i="2"/>
  <c r="AH77" i="2"/>
  <c r="AL77" i="2"/>
  <c r="AP77" i="2"/>
  <c r="AT77" i="2"/>
  <c r="AX77" i="2"/>
  <c r="BB77" i="2"/>
  <c r="BF77" i="2"/>
  <c r="BJ77" i="2"/>
  <c r="F78" i="2"/>
  <c r="J78" i="2"/>
  <c r="N78" i="2"/>
  <c r="R78" i="2"/>
  <c r="V78" i="2"/>
  <c r="Z78" i="2"/>
  <c r="AD78" i="2"/>
  <c r="AH78" i="2"/>
  <c r="AL78" i="2"/>
  <c r="AP78" i="2"/>
  <c r="AT78" i="2"/>
  <c r="AX78" i="2"/>
  <c r="BB78" i="2"/>
  <c r="BF78" i="2"/>
  <c r="BJ78" i="2"/>
  <c r="F79" i="2"/>
  <c r="J79" i="2"/>
  <c r="N79" i="2"/>
  <c r="R79" i="2"/>
  <c r="V79" i="2"/>
  <c r="Z79" i="2"/>
  <c r="AD79" i="2"/>
  <c r="AH79" i="2"/>
  <c r="AL79" i="2"/>
  <c r="AP79" i="2"/>
  <c r="AT79" i="2"/>
  <c r="AX79" i="2"/>
  <c r="BB79" i="2"/>
  <c r="BF79" i="2"/>
  <c r="BJ79" i="2"/>
  <c r="F80" i="2"/>
  <c r="J80" i="2"/>
  <c r="N80" i="2"/>
  <c r="R80" i="2"/>
  <c r="V80" i="2"/>
  <c r="Z80" i="2"/>
  <c r="AD80" i="2"/>
  <c r="AH80" i="2"/>
  <c r="AL80" i="2"/>
  <c r="AP80" i="2"/>
  <c r="AT80" i="2"/>
  <c r="AX80" i="2"/>
  <c r="BB80" i="2"/>
  <c r="BF80" i="2"/>
  <c r="BJ80" i="2"/>
  <c r="F81" i="2"/>
  <c r="J81" i="2"/>
  <c r="N81" i="2"/>
  <c r="R81" i="2"/>
  <c r="V81" i="2"/>
  <c r="Z81" i="2"/>
  <c r="AD81" i="2"/>
  <c r="AH81" i="2"/>
  <c r="AL81" i="2"/>
  <c r="AP81" i="2"/>
  <c r="AT81" i="2"/>
  <c r="AX81" i="2"/>
  <c r="BB81" i="2"/>
  <c r="BF81" i="2"/>
  <c r="BJ81" i="2"/>
  <c r="F82" i="2"/>
  <c r="J82" i="2"/>
  <c r="N82" i="2"/>
  <c r="R82" i="2"/>
  <c r="V82" i="2"/>
  <c r="Z82" i="2"/>
  <c r="AD82" i="2"/>
  <c r="AH82" i="2"/>
  <c r="AL82" i="2"/>
  <c r="AP82" i="2"/>
  <c r="AT82" i="2"/>
  <c r="AX82" i="2"/>
  <c r="BB82" i="2"/>
  <c r="BF82" i="2"/>
  <c r="BJ82" i="2"/>
  <c r="F83" i="2"/>
  <c r="J83" i="2"/>
  <c r="N83" i="2"/>
  <c r="R83" i="2"/>
  <c r="V83" i="2"/>
  <c r="Z83" i="2"/>
  <c r="AD83" i="2"/>
  <c r="AH83" i="2"/>
  <c r="AL83" i="2"/>
  <c r="AP83" i="2"/>
  <c r="AT83" i="2"/>
  <c r="AX83" i="2"/>
  <c r="BB83" i="2"/>
  <c r="BF83" i="2"/>
  <c r="BJ83" i="2"/>
  <c r="F64" i="2"/>
  <c r="J64" i="2"/>
  <c r="N64" i="2"/>
  <c r="R64" i="2"/>
  <c r="V64" i="2"/>
  <c r="Z64" i="2"/>
  <c r="AD64" i="2"/>
  <c r="AH64" i="2"/>
  <c r="AL64" i="2"/>
  <c r="AP64" i="2"/>
  <c r="AT64" i="2"/>
  <c r="AX64" i="2"/>
  <c r="BB64" i="2"/>
  <c r="BF64" i="2"/>
  <c r="BJ64" i="2"/>
  <c r="F65" i="2"/>
  <c r="J65" i="2"/>
  <c r="N65" i="2"/>
  <c r="R65" i="2"/>
  <c r="V65" i="2"/>
  <c r="Z65" i="2"/>
  <c r="AD65" i="2"/>
  <c r="AH65" i="2"/>
  <c r="AL65" i="2"/>
  <c r="AP65" i="2"/>
  <c r="AT65" i="2"/>
  <c r="AX65" i="2"/>
  <c r="BB65" i="2"/>
  <c r="BF65" i="2"/>
  <c r="BJ65" i="2"/>
  <c r="F66" i="2"/>
  <c r="BK66" i="2" s="1"/>
  <c r="J66" i="2"/>
  <c r="N66" i="2"/>
  <c r="R66" i="2"/>
  <c r="V66" i="2"/>
  <c r="Z66" i="2"/>
  <c r="AD66" i="2"/>
  <c r="AH66" i="2"/>
  <c r="AL66" i="2"/>
  <c r="AP66" i="2"/>
  <c r="AT66" i="2"/>
  <c r="AX66" i="2"/>
  <c r="BB66" i="2"/>
  <c r="BF66" i="2"/>
  <c r="BJ66" i="2"/>
  <c r="F67" i="2"/>
  <c r="J67" i="2"/>
  <c r="N67" i="2"/>
  <c r="R67" i="2"/>
  <c r="V67" i="2"/>
  <c r="Z67" i="2"/>
  <c r="AD67" i="2"/>
  <c r="AH67" i="2"/>
  <c r="AL67" i="2"/>
  <c r="AP67" i="2"/>
  <c r="AT67" i="2"/>
  <c r="AX67" i="2"/>
  <c r="BB67" i="2"/>
  <c r="BF67" i="2"/>
  <c r="BJ67" i="2"/>
  <c r="F68" i="2"/>
  <c r="J68" i="2"/>
  <c r="N68" i="2"/>
  <c r="R68" i="2"/>
  <c r="V68" i="2"/>
  <c r="Z68" i="2"/>
  <c r="AD68" i="2"/>
  <c r="AH68" i="2"/>
  <c r="AL68" i="2"/>
  <c r="AP68" i="2"/>
  <c r="AT68" i="2"/>
  <c r="AX68" i="2"/>
  <c r="BB68" i="2"/>
  <c r="BF68" i="2"/>
  <c r="BJ68" i="2"/>
  <c r="F69" i="2"/>
  <c r="J69" i="2"/>
  <c r="N69" i="2"/>
  <c r="R69" i="2"/>
  <c r="V69" i="2"/>
  <c r="Z69" i="2"/>
  <c r="AD69" i="2"/>
  <c r="AH69" i="2"/>
  <c r="AL69" i="2"/>
  <c r="AP69" i="2"/>
  <c r="AT69" i="2"/>
  <c r="AX69" i="2"/>
  <c r="BB69" i="2"/>
  <c r="BF69" i="2"/>
  <c r="BJ69" i="2"/>
  <c r="F70" i="2"/>
  <c r="J70" i="2"/>
  <c r="N70" i="2"/>
  <c r="R70" i="2"/>
  <c r="V70" i="2"/>
  <c r="Z70" i="2"/>
  <c r="AD70" i="2"/>
  <c r="AH70" i="2"/>
  <c r="AL70" i="2"/>
  <c r="AP70" i="2"/>
  <c r="AT70" i="2"/>
  <c r="AX70" i="2"/>
  <c r="BB70" i="2"/>
  <c r="BF70" i="2"/>
  <c r="BJ70" i="2"/>
  <c r="F71" i="2"/>
  <c r="J71" i="2"/>
  <c r="N71" i="2"/>
  <c r="R71" i="2"/>
  <c r="V71" i="2"/>
  <c r="Z71" i="2"/>
  <c r="AD71" i="2"/>
  <c r="AH71" i="2"/>
  <c r="AL71" i="2"/>
  <c r="AP71" i="2"/>
  <c r="AT71" i="2"/>
  <c r="AX71" i="2"/>
  <c r="BB71" i="2"/>
  <c r="BF71" i="2"/>
  <c r="BJ71" i="2"/>
  <c r="F72" i="2"/>
  <c r="J72" i="2"/>
  <c r="N72" i="2"/>
  <c r="R72" i="2"/>
  <c r="V72" i="2"/>
  <c r="Z72" i="2"/>
  <c r="AD72" i="2"/>
  <c r="AH72" i="2"/>
  <c r="AL72" i="2"/>
  <c r="AP72" i="2"/>
  <c r="AT72" i="2"/>
  <c r="AX72" i="2"/>
  <c r="BB72" i="2"/>
  <c r="BF72" i="2"/>
  <c r="BJ72" i="2"/>
  <c r="F58" i="2"/>
  <c r="J58" i="2"/>
  <c r="N58" i="2"/>
  <c r="R58" i="2"/>
  <c r="V58" i="2"/>
  <c r="Z58" i="2"/>
  <c r="AD58" i="2"/>
  <c r="AH58" i="2"/>
  <c r="AL58" i="2"/>
  <c r="AP58" i="2"/>
  <c r="AT58" i="2"/>
  <c r="AX58" i="2"/>
  <c r="BB58" i="2"/>
  <c r="BF58" i="2"/>
  <c r="BJ58" i="2"/>
  <c r="F59" i="2"/>
  <c r="J59" i="2"/>
  <c r="N59" i="2"/>
  <c r="R59" i="2"/>
  <c r="V59" i="2"/>
  <c r="Z59" i="2"/>
  <c r="AD59" i="2"/>
  <c r="AH59" i="2"/>
  <c r="AL59" i="2"/>
  <c r="AP59" i="2"/>
  <c r="AT59" i="2"/>
  <c r="AX59" i="2"/>
  <c r="BB59" i="2"/>
  <c r="BF59" i="2"/>
  <c r="BJ59" i="2"/>
  <c r="F60" i="2"/>
  <c r="J60" i="2"/>
  <c r="N60" i="2"/>
  <c r="R60" i="2"/>
  <c r="V60" i="2"/>
  <c r="Z60" i="2"/>
  <c r="AD60" i="2"/>
  <c r="AH60" i="2"/>
  <c r="AL60" i="2"/>
  <c r="AP60" i="2"/>
  <c r="AT60" i="2"/>
  <c r="AX60" i="2"/>
  <c r="BB60" i="2"/>
  <c r="BF60" i="2"/>
  <c r="BJ60" i="2"/>
  <c r="F61" i="2"/>
  <c r="J61" i="2"/>
  <c r="N61" i="2"/>
  <c r="R61" i="2"/>
  <c r="V61" i="2"/>
  <c r="Z61" i="2"/>
  <c r="AD61" i="2"/>
  <c r="AH61" i="2"/>
  <c r="AL61" i="2"/>
  <c r="AP61" i="2"/>
  <c r="AT61" i="2"/>
  <c r="AX61" i="2"/>
  <c r="BB61" i="2"/>
  <c r="BF61" i="2"/>
  <c r="BJ61" i="2"/>
  <c r="F62" i="2"/>
  <c r="J62" i="2"/>
  <c r="N62" i="2"/>
  <c r="R62" i="2"/>
  <c r="V62" i="2"/>
  <c r="Z62" i="2"/>
  <c r="AD62" i="2"/>
  <c r="AH62" i="2"/>
  <c r="AL62" i="2"/>
  <c r="AP62" i="2"/>
  <c r="AT62" i="2"/>
  <c r="AX62" i="2"/>
  <c r="BB62" i="2"/>
  <c r="BF62" i="2"/>
  <c r="BJ62" i="2"/>
  <c r="F63" i="2"/>
  <c r="J63" i="2"/>
  <c r="N63" i="2"/>
  <c r="R63" i="2"/>
  <c r="V63" i="2"/>
  <c r="Z63" i="2"/>
  <c r="AD63" i="2"/>
  <c r="AH63" i="2"/>
  <c r="AL63" i="2"/>
  <c r="AP63" i="2"/>
  <c r="AT63" i="2"/>
  <c r="AX63" i="2"/>
  <c r="BB63" i="2"/>
  <c r="BF63" i="2"/>
  <c r="BJ63" i="2"/>
  <c r="F44" i="2"/>
  <c r="J44" i="2"/>
  <c r="N44" i="2"/>
  <c r="R44" i="2"/>
  <c r="V44" i="2"/>
  <c r="Z44" i="2"/>
  <c r="AD44" i="2"/>
  <c r="AH44" i="2"/>
  <c r="AL44" i="2"/>
  <c r="AP44" i="2"/>
  <c r="AT44" i="2"/>
  <c r="AX44" i="2"/>
  <c r="BB44" i="2"/>
  <c r="BF44" i="2"/>
  <c r="BJ44" i="2"/>
  <c r="F45" i="2"/>
  <c r="J45" i="2"/>
  <c r="N45" i="2"/>
  <c r="R45" i="2"/>
  <c r="V45" i="2"/>
  <c r="Z45" i="2"/>
  <c r="AD45" i="2"/>
  <c r="AH45" i="2"/>
  <c r="AL45" i="2"/>
  <c r="AP45" i="2"/>
  <c r="AT45" i="2"/>
  <c r="AX45" i="2"/>
  <c r="BB45" i="2"/>
  <c r="BF45" i="2"/>
  <c r="BJ45" i="2"/>
  <c r="F47" i="2"/>
  <c r="J47" i="2"/>
  <c r="N47" i="2"/>
  <c r="R47" i="2"/>
  <c r="V47" i="2"/>
  <c r="Z47" i="2"/>
  <c r="AD47" i="2"/>
  <c r="AH47" i="2"/>
  <c r="AL47" i="2"/>
  <c r="AP47" i="2"/>
  <c r="AT47" i="2"/>
  <c r="AX47" i="2"/>
  <c r="BB47" i="2"/>
  <c r="BF47" i="2"/>
  <c r="BJ47" i="2"/>
  <c r="F48" i="2"/>
  <c r="J48" i="2"/>
  <c r="N48" i="2"/>
  <c r="R48" i="2"/>
  <c r="V48" i="2"/>
  <c r="Z48" i="2"/>
  <c r="AD48" i="2"/>
  <c r="AH48" i="2"/>
  <c r="AL48" i="2"/>
  <c r="AP48" i="2"/>
  <c r="AT48" i="2"/>
  <c r="AX48" i="2"/>
  <c r="BB48" i="2"/>
  <c r="BF48" i="2"/>
  <c r="BJ48" i="2"/>
  <c r="F32" i="2"/>
  <c r="J32" i="2"/>
  <c r="BK32" i="2" s="1"/>
  <c r="N32" i="2"/>
  <c r="R32" i="2"/>
  <c r="V32" i="2"/>
  <c r="Z32" i="2"/>
  <c r="AD32" i="2"/>
  <c r="AH32" i="2"/>
  <c r="AL32" i="2"/>
  <c r="AP32" i="2"/>
  <c r="AX32" i="2"/>
  <c r="BB32" i="2"/>
  <c r="BF32" i="2"/>
  <c r="BJ32" i="2"/>
  <c r="F19" i="2"/>
  <c r="J19" i="2"/>
  <c r="N19" i="2"/>
  <c r="R19" i="2"/>
  <c r="V19" i="2"/>
  <c r="Z19" i="2"/>
  <c r="AD19" i="2"/>
  <c r="AH19" i="2"/>
  <c r="AL19" i="2"/>
  <c r="AP19" i="2"/>
  <c r="AT19" i="2"/>
  <c r="AX19" i="2"/>
  <c r="BB19" i="2"/>
  <c r="BF19" i="2"/>
  <c r="BJ19" i="2"/>
  <c r="F20" i="2"/>
  <c r="J20" i="2"/>
  <c r="N20" i="2"/>
  <c r="R20" i="2"/>
  <c r="V20" i="2"/>
  <c r="Z20" i="2"/>
  <c r="AD20" i="2"/>
  <c r="AH20" i="2"/>
  <c r="AL20" i="2"/>
  <c r="AP20" i="2"/>
  <c r="AT20" i="2"/>
  <c r="AX20" i="2"/>
  <c r="BB20" i="2"/>
  <c r="BF20" i="2"/>
  <c r="BJ20" i="2"/>
  <c r="F21" i="2"/>
  <c r="J21" i="2"/>
  <c r="N21" i="2"/>
  <c r="R21" i="2"/>
  <c r="V21" i="2"/>
  <c r="Z21" i="2"/>
  <c r="AD21" i="2"/>
  <c r="AH21" i="2"/>
  <c r="AL21" i="2"/>
  <c r="AP21" i="2"/>
  <c r="AT21" i="2"/>
  <c r="AX21" i="2"/>
  <c r="BB21" i="2"/>
  <c r="BF21" i="2"/>
  <c r="BJ21" i="2"/>
  <c r="F14" i="2"/>
  <c r="J14" i="2"/>
  <c r="N14" i="2"/>
  <c r="R14" i="2"/>
  <c r="V14" i="2"/>
  <c r="Z14" i="2"/>
  <c r="AD14" i="2"/>
  <c r="AH14" i="2"/>
  <c r="AL14" i="2"/>
  <c r="AP14" i="2"/>
  <c r="AT14" i="2"/>
  <c r="AX14" i="2"/>
  <c r="BB14" i="2"/>
  <c r="BF14" i="2"/>
  <c r="BJ14" i="2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F17" i="6"/>
  <c r="G17" i="6"/>
  <c r="E17" i="6"/>
  <c r="BK44" i="2" l="1"/>
  <c r="BK71" i="2"/>
  <c r="BK83" i="2"/>
  <c r="BK75" i="2"/>
  <c r="BK85" i="2"/>
  <c r="BK21" i="2"/>
  <c r="BN21" i="2" s="1"/>
  <c r="BK45" i="2"/>
  <c r="BK47" i="2"/>
  <c r="BK87" i="2"/>
  <c r="BK60" i="2"/>
  <c r="BK67" i="2"/>
  <c r="BK79" i="2"/>
  <c r="BK73" i="2"/>
  <c r="BK90" i="2"/>
  <c r="BK88" i="2"/>
  <c r="BK86" i="2"/>
  <c r="BK84" i="2"/>
  <c r="BK82" i="2"/>
  <c r="BK81" i="2"/>
  <c r="BK80" i="2"/>
  <c r="BK78" i="2"/>
  <c r="BK77" i="2"/>
  <c r="BK76" i="2"/>
  <c r="BK74" i="2"/>
  <c r="BK72" i="2"/>
  <c r="BK70" i="2"/>
  <c r="BK69" i="2"/>
  <c r="BK68" i="2"/>
  <c r="BK65" i="2"/>
  <c r="BK64" i="2"/>
  <c r="BK63" i="2"/>
  <c r="BK62" i="2"/>
  <c r="BK61" i="2"/>
  <c r="BK59" i="2"/>
  <c r="BK58" i="2"/>
  <c r="BK48" i="2"/>
  <c r="BK20" i="2"/>
  <c r="BN20" i="2" s="1"/>
  <c r="BK19" i="2"/>
  <c r="X91" i="3"/>
  <c r="S91" i="3"/>
  <c r="P91" i="3"/>
  <c r="I91" i="3"/>
  <c r="F91" i="3"/>
  <c r="D12" i="5" l="1"/>
  <c r="D18" i="5" s="1"/>
  <c r="E12" i="5"/>
  <c r="E18" i="5" s="1"/>
  <c r="F12" i="5"/>
  <c r="F18" i="5" s="1"/>
  <c r="G12" i="5"/>
  <c r="G18" i="5" s="1"/>
  <c r="H12" i="5"/>
  <c r="H18" i="5" s="1"/>
  <c r="I12" i="5"/>
  <c r="I18" i="5" s="1"/>
  <c r="K12" i="5"/>
  <c r="K18" i="5" s="1"/>
  <c r="M12" i="5"/>
  <c r="M18" i="5" s="1"/>
  <c r="N12" i="5"/>
  <c r="N18" i="5" s="1"/>
  <c r="C12" i="5"/>
  <c r="C18" i="5" s="1"/>
  <c r="AC10" i="3"/>
  <c r="AD10" i="3" s="1"/>
  <c r="X10" i="3"/>
  <c r="Y10" i="3" s="1"/>
  <c r="T10" i="3"/>
  <c r="T92" i="3" s="1"/>
  <c r="P10" i="3"/>
  <c r="Q10" i="3" s="1"/>
  <c r="Q92" i="3" s="1"/>
  <c r="J10" i="3"/>
  <c r="J92" i="3" s="1"/>
  <c r="F11" i="3"/>
  <c r="G11" i="3" s="1"/>
  <c r="F12" i="3"/>
  <c r="G12" i="3" s="1"/>
  <c r="F13" i="3"/>
  <c r="G13" i="3" s="1"/>
  <c r="F14" i="3"/>
  <c r="G14" i="3" s="1"/>
  <c r="F15" i="3"/>
  <c r="G15" i="3" s="1"/>
  <c r="F16" i="3"/>
  <c r="G16" i="3" s="1"/>
  <c r="F17" i="3"/>
  <c r="G17" i="3" s="1"/>
  <c r="F18" i="3"/>
  <c r="G18" i="3" s="1"/>
  <c r="F19" i="3"/>
  <c r="G19" i="3" s="1"/>
  <c r="F20" i="3"/>
  <c r="G20" i="3" s="1"/>
  <c r="F21" i="3"/>
  <c r="G21" i="3" s="1"/>
  <c r="F22" i="3"/>
  <c r="G22" i="3" s="1"/>
  <c r="F23" i="3"/>
  <c r="G23" i="3" s="1"/>
  <c r="F24" i="3"/>
  <c r="G24" i="3" s="1"/>
  <c r="F25" i="3"/>
  <c r="G25" i="3" s="1"/>
  <c r="F26" i="3"/>
  <c r="G26" i="3" s="1"/>
  <c r="F27" i="3"/>
  <c r="G27" i="3" s="1"/>
  <c r="F28" i="3"/>
  <c r="G28" i="3" s="1"/>
  <c r="F29" i="3"/>
  <c r="G29" i="3" s="1"/>
  <c r="F30" i="3"/>
  <c r="G30" i="3" s="1"/>
  <c r="F31" i="3"/>
  <c r="G31" i="3" s="1"/>
  <c r="F32" i="3"/>
  <c r="G32" i="3" s="1"/>
  <c r="F33" i="3"/>
  <c r="G33" i="3" s="1"/>
  <c r="F34" i="3"/>
  <c r="G34" i="3" s="1"/>
  <c r="F35" i="3"/>
  <c r="G35" i="3" s="1"/>
  <c r="F36" i="3"/>
  <c r="G36" i="3" s="1"/>
  <c r="F37" i="3"/>
  <c r="G37" i="3" s="1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1" i="3"/>
  <c r="G51" i="3" s="1"/>
  <c r="F52" i="3"/>
  <c r="G52" i="3" s="1"/>
  <c r="F53" i="3"/>
  <c r="G53" i="3" s="1"/>
  <c r="F54" i="3"/>
  <c r="G54" i="3" s="1"/>
  <c r="F55" i="3"/>
  <c r="G55" i="3" s="1"/>
  <c r="F56" i="3"/>
  <c r="G56" i="3" s="1"/>
  <c r="F57" i="3"/>
  <c r="G57" i="3" s="1"/>
  <c r="F58" i="3"/>
  <c r="G58" i="3" s="1"/>
  <c r="F59" i="3"/>
  <c r="G59" i="3" s="1"/>
  <c r="F60" i="3"/>
  <c r="G60" i="3" s="1"/>
  <c r="F61" i="3"/>
  <c r="G61" i="3" s="1"/>
  <c r="F62" i="3"/>
  <c r="G62" i="3" s="1"/>
  <c r="F63" i="3"/>
  <c r="G63" i="3" s="1"/>
  <c r="F64" i="3"/>
  <c r="G64" i="3" s="1"/>
  <c r="F65" i="3"/>
  <c r="G65" i="3" s="1"/>
  <c r="F66" i="3"/>
  <c r="G66" i="3" s="1"/>
  <c r="F67" i="3"/>
  <c r="G67" i="3" s="1"/>
  <c r="F68" i="3"/>
  <c r="G68" i="3" s="1"/>
  <c r="F69" i="3"/>
  <c r="G69" i="3" s="1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80" i="3"/>
  <c r="G80" i="3" s="1"/>
  <c r="F81" i="3"/>
  <c r="G81" i="3" s="1"/>
  <c r="F82" i="3"/>
  <c r="G82" i="3" s="1"/>
  <c r="F83" i="3"/>
  <c r="G83" i="3" s="1"/>
  <c r="F84" i="3"/>
  <c r="G84" i="3" s="1"/>
  <c r="F85" i="3"/>
  <c r="G85" i="3" s="1"/>
  <c r="F86" i="3"/>
  <c r="G86" i="3" s="1"/>
  <c r="F87" i="3"/>
  <c r="G87" i="3" s="1"/>
  <c r="F88" i="3"/>
  <c r="G88" i="3" s="1"/>
  <c r="F89" i="3"/>
  <c r="G89" i="3" s="1"/>
  <c r="F90" i="3"/>
  <c r="G90" i="3" s="1"/>
  <c r="G10" i="3"/>
  <c r="F10" i="3"/>
  <c r="G92" i="3" l="1"/>
  <c r="G95" i="3" s="1"/>
  <c r="G93" i="3"/>
  <c r="Y92" i="3"/>
  <c r="Y93" i="3"/>
  <c r="J94" i="3"/>
  <c r="J95" i="3"/>
  <c r="J93" i="3"/>
  <c r="AD92" i="3"/>
  <c r="AD95" i="3" s="1"/>
  <c r="AD93" i="3"/>
  <c r="T93" i="3"/>
  <c r="Q94" i="3"/>
  <c r="Q95" i="3"/>
  <c r="Q93" i="3"/>
  <c r="T94" i="3"/>
  <c r="T95" i="3"/>
  <c r="BJ57" i="2"/>
  <c r="BJ56" i="2"/>
  <c r="BJ55" i="2"/>
  <c r="BJ54" i="2"/>
  <c r="BJ53" i="2"/>
  <c r="BJ52" i="2"/>
  <c r="BJ51" i="2"/>
  <c r="BJ50" i="2"/>
  <c r="BJ49" i="2"/>
  <c r="BJ43" i="2"/>
  <c r="BJ42" i="2"/>
  <c r="BJ41" i="2"/>
  <c r="BJ40" i="2"/>
  <c r="BJ39" i="2"/>
  <c r="BJ37" i="2"/>
  <c r="BJ36" i="2"/>
  <c r="BJ35" i="2"/>
  <c r="BJ34" i="2"/>
  <c r="BJ33" i="2"/>
  <c r="BJ31" i="2"/>
  <c r="BJ30" i="2"/>
  <c r="BJ29" i="2"/>
  <c r="BJ28" i="2"/>
  <c r="BJ27" i="2"/>
  <c r="BJ26" i="2"/>
  <c r="BJ25" i="2"/>
  <c r="BJ24" i="2"/>
  <c r="BJ23" i="2"/>
  <c r="BJ22" i="2"/>
  <c r="BJ18" i="2"/>
  <c r="BJ17" i="2"/>
  <c r="BJ16" i="2"/>
  <c r="BJ15" i="2"/>
  <c r="BJ13" i="2"/>
  <c r="BJ12" i="2"/>
  <c r="BJ11" i="2"/>
  <c r="BJ10" i="2"/>
  <c r="BF57" i="2"/>
  <c r="BF56" i="2"/>
  <c r="BF55" i="2"/>
  <c r="BF54" i="2"/>
  <c r="BF53" i="2"/>
  <c r="BF52" i="2"/>
  <c r="BF51" i="2"/>
  <c r="BF50" i="2"/>
  <c r="BF49" i="2"/>
  <c r="BF43" i="2"/>
  <c r="BF42" i="2"/>
  <c r="BF41" i="2"/>
  <c r="BF40" i="2"/>
  <c r="BF39" i="2"/>
  <c r="BF38" i="2"/>
  <c r="BF37" i="2"/>
  <c r="BF36" i="2"/>
  <c r="BF35" i="2"/>
  <c r="BF34" i="2"/>
  <c r="BF33" i="2"/>
  <c r="BF31" i="2"/>
  <c r="BF30" i="2"/>
  <c r="BF29" i="2"/>
  <c r="BF28" i="2"/>
  <c r="BF27" i="2"/>
  <c r="BF26" i="2"/>
  <c r="BF25" i="2"/>
  <c r="BF24" i="2"/>
  <c r="BF23" i="2"/>
  <c r="BF22" i="2"/>
  <c r="BF18" i="2"/>
  <c r="BF17" i="2"/>
  <c r="BF16" i="2"/>
  <c r="BF15" i="2"/>
  <c r="BF13" i="2"/>
  <c r="BF12" i="2"/>
  <c r="BF11" i="2"/>
  <c r="BF10" i="2"/>
  <c r="BB57" i="2"/>
  <c r="BB56" i="2"/>
  <c r="BB55" i="2"/>
  <c r="BB54" i="2"/>
  <c r="BB53" i="2"/>
  <c r="BB52" i="2"/>
  <c r="BB51" i="2"/>
  <c r="BB50" i="2"/>
  <c r="BB49" i="2"/>
  <c r="BB43" i="2"/>
  <c r="BB42" i="2"/>
  <c r="BB41" i="2"/>
  <c r="BB40" i="2"/>
  <c r="BB39" i="2"/>
  <c r="BB38" i="2"/>
  <c r="BB37" i="2"/>
  <c r="BB36" i="2"/>
  <c r="BB35" i="2"/>
  <c r="BB34" i="2"/>
  <c r="BB33" i="2"/>
  <c r="BB31" i="2"/>
  <c r="BB30" i="2"/>
  <c r="BB29" i="2"/>
  <c r="BB28" i="2"/>
  <c r="BB27" i="2"/>
  <c r="BB26" i="2"/>
  <c r="BB25" i="2"/>
  <c r="BB24" i="2"/>
  <c r="BB23" i="2"/>
  <c r="BB22" i="2"/>
  <c r="BB18" i="2"/>
  <c r="BB17" i="2"/>
  <c r="BB16" i="2"/>
  <c r="BB15" i="2"/>
  <c r="BB13" i="2"/>
  <c r="BB12" i="2"/>
  <c r="BB11" i="2"/>
  <c r="BB10" i="2"/>
  <c r="AX57" i="2"/>
  <c r="AX56" i="2"/>
  <c r="AX55" i="2"/>
  <c r="AX54" i="2"/>
  <c r="AX53" i="2"/>
  <c r="AX52" i="2"/>
  <c r="AX51" i="2"/>
  <c r="AX50" i="2"/>
  <c r="AX49" i="2"/>
  <c r="AX43" i="2"/>
  <c r="AX42" i="2"/>
  <c r="AX41" i="2"/>
  <c r="AX40" i="2"/>
  <c r="AX39" i="2"/>
  <c r="AX38" i="2"/>
  <c r="AX37" i="2"/>
  <c r="AX36" i="2"/>
  <c r="AX35" i="2"/>
  <c r="AX34" i="2"/>
  <c r="AX33" i="2"/>
  <c r="AX31" i="2"/>
  <c r="AX30" i="2"/>
  <c r="AX29" i="2"/>
  <c r="AX28" i="2"/>
  <c r="AX27" i="2"/>
  <c r="AX26" i="2"/>
  <c r="AX25" i="2"/>
  <c r="AX24" i="2"/>
  <c r="AX23" i="2"/>
  <c r="AX22" i="2"/>
  <c r="AX18" i="2"/>
  <c r="AX17" i="2"/>
  <c r="AX16" i="2"/>
  <c r="AX15" i="2"/>
  <c r="AX13" i="2"/>
  <c r="AX12" i="2"/>
  <c r="AX11" i="2"/>
  <c r="AX10" i="2"/>
  <c r="AT57" i="2"/>
  <c r="AT56" i="2"/>
  <c r="AT55" i="2"/>
  <c r="AT54" i="2"/>
  <c r="AT53" i="2"/>
  <c r="AT52" i="2"/>
  <c r="AT51" i="2"/>
  <c r="AT50" i="2"/>
  <c r="AT49" i="2"/>
  <c r="AT43" i="2"/>
  <c r="AT42" i="2"/>
  <c r="AT41" i="2"/>
  <c r="AT40" i="2"/>
  <c r="AT39" i="2"/>
  <c r="AT38" i="2"/>
  <c r="AT37" i="2"/>
  <c r="AT36" i="2"/>
  <c r="AT35" i="2"/>
  <c r="AT34" i="2"/>
  <c r="AT33" i="2"/>
  <c r="AT30" i="2"/>
  <c r="AT29" i="2"/>
  <c r="AT28" i="2"/>
  <c r="AT27" i="2"/>
  <c r="AT26" i="2"/>
  <c r="AT25" i="2"/>
  <c r="AT24" i="2"/>
  <c r="AT23" i="2"/>
  <c r="AT22" i="2"/>
  <c r="AT18" i="2"/>
  <c r="AT17" i="2"/>
  <c r="AT16" i="2"/>
  <c r="AT15" i="2"/>
  <c r="AT13" i="2"/>
  <c r="AT12" i="2"/>
  <c r="AT11" i="2"/>
  <c r="AT10" i="2"/>
  <c r="G12" i="1"/>
  <c r="Y94" i="3" l="1"/>
  <c r="Y95" i="3"/>
  <c r="D97" i="3" s="1"/>
  <c r="AD94" i="3"/>
  <c r="G94" i="3"/>
  <c r="J97" i="4"/>
  <c r="J98" i="4" s="1"/>
  <c r="I97" i="4"/>
  <c r="I98" i="4" s="1"/>
  <c r="J96" i="4"/>
  <c r="I96" i="4"/>
  <c r="H97" i="4"/>
  <c r="H98" i="4" s="1"/>
  <c r="G97" i="4"/>
  <c r="G98" i="4" s="1"/>
  <c r="F97" i="4"/>
  <c r="F98" i="4" s="1"/>
  <c r="E97" i="4"/>
  <c r="E98" i="4" s="1"/>
  <c r="H96" i="4"/>
  <c r="G96" i="4"/>
  <c r="F96" i="4"/>
  <c r="E96" i="4"/>
  <c r="AP57" i="2"/>
  <c r="AL57" i="2"/>
  <c r="AH57" i="2"/>
  <c r="AD57" i="2"/>
  <c r="Z57" i="2"/>
  <c r="V57" i="2"/>
  <c r="R57" i="2"/>
  <c r="N57" i="2"/>
  <c r="J57" i="2"/>
  <c r="F57" i="2"/>
  <c r="AP56" i="2"/>
  <c r="AL56" i="2"/>
  <c r="AH56" i="2"/>
  <c r="AD56" i="2"/>
  <c r="Z56" i="2"/>
  <c r="V56" i="2"/>
  <c r="R56" i="2"/>
  <c r="N56" i="2"/>
  <c r="J56" i="2"/>
  <c r="F56" i="2"/>
  <c r="AP55" i="2"/>
  <c r="AL55" i="2"/>
  <c r="AH55" i="2"/>
  <c r="AD55" i="2"/>
  <c r="Z55" i="2"/>
  <c r="V55" i="2"/>
  <c r="R55" i="2"/>
  <c r="N55" i="2"/>
  <c r="J55" i="2"/>
  <c r="F55" i="2"/>
  <c r="AP54" i="2"/>
  <c r="AL54" i="2"/>
  <c r="AH54" i="2"/>
  <c r="AD54" i="2"/>
  <c r="Z54" i="2"/>
  <c r="V54" i="2"/>
  <c r="R54" i="2"/>
  <c r="N54" i="2"/>
  <c r="J54" i="2"/>
  <c r="F54" i="2"/>
  <c r="AP53" i="2"/>
  <c r="AL53" i="2"/>
  <c r="AH53" i="2"/>
  <c r="AD53" i="2"/>
  <c r="Z53" i="2"/>
  <c r="V53" i="2"/>
  <c r="R53" i="2"/>
  <c r="N53" i="2"/>
  <c r="J53" i="2"/>
  <c r="F53" i="2"/>
  <c r="AP52" i="2"/>
  <c r="AL52" i="2"/>
  <c r="AH52" i="2"/>
  <c r="AD52" i="2"/>
  <c r="Z52" i="2"/>
  <c r="V52" i="2"/>
  <c r="R52" i="2"/>
  <c r="N52" i="2"/>
  <c r="J52" i="2"/>
  <c r="F52" i="2"/>
  <c r="AP51" i="2"/>
  <c r="AL51" i="2"/>
  <c r="AH51" i="2"/>
  <c r="AD51" i="2"/>
  <c r="Z51" i="2"/>
  <c r="V51" i="2"/>
  <c r="R51" i="2"/>
  <c r="N51" i="2"/>
  <c r="J51" i="2"/>
  <c r="F51" i="2"/>
  <c r="AP50" i="2"/>
  <c r="AL50" i="2"/>
  <c r="AH50" i="2"/>
  <c r="AD50" i="2"/>
  <c r="Z50" i="2"/>
  <c r="V50" i="2"/>
  <c r="R50" i="2"/>
  <c r="N50" i="2"/>
  <c r="J50" i="2"/>
  <c r="F50" i="2"/>
  <c r="AP49" i="2"/>
  <c r="AL49" i="2"/>
  <c r="AH49" i="2"/>
  <c r="AD49" i="2"/>
  <c r="Z49" i="2"/>
  <c r="V49" i="2"/>
  <c r="R49" i="2"/>
  <c r="N49" i="2"/>
  <c r="J49" i="2"/>
  <c r="F49" i="2"/>
  <c r="AP43" i="2"/>
  <c r="AL43" i="2"/>
  <c r="AH43" i="2"/>
  <c r="AD43" i="2"/>
  <c r="Z43" i="2"/>
  <c r="V43" i="2"/>
  <c r="R43" i="2"/>
  <c r="N43" i="2"/>
  <c r="J43" i="2"/>
  <c r="F43" i="2"/>
  <c r="AP42" i="2"/>
  <c r="AL42" i="2"/>
  <c r="AH42" i="2"/>
  <c r="AD42" i="2"/>
  <c r="Z42" i="2"/>
  <c r="V42" i="2"/>
  <c r="R42" i="2"/>
  <c r="N42" i="2"/>
  <c r="J42" i="2"/>
  <c r="F42" i="2"/>
  <c r="AP41" i="2"/>
  <c r="AL41" i="2"/>
  <c r="AH41" i="2"/>
  <c r="AD41" i="2"/>
  <c r="Z41" i="2"/>
  <c r="V41" i="2"/>
  <c r="R41" i="2"/>
  <c r="N41" i="2"/>
  <c r="J41" i="2"/>
  <c r="F41" i="2"/>
  <c r="AP40" i="2"/>
  <c r="AL40" i="2"/>
  <c r="AH40" i="2"/>
  <c r="AD40" i="2"/>
  <c r="Z40" i="2"/>
  <c r="V40" i="2"/>
  <c r="R40" i="2"/>
  <c r="N40" i="2"/>
  <c r="J40" i="2"/>
  <c r="F40" i="2"/>
  <c r="AP39" i="2"/>
  <c r="AL39" i="2"/>
  <c r="AH39" i="2"/>
  <c r="AD39" i="2"/>
  <c r="Z39" i="2"/>
  <c r="V39" i="2"/>
  <c r="R39" i="2"/>
  <c r="N39" i="2"/>
  <c r="J39" i="2"/>
  <c r="F39" i="2"/>
  <c r="AP38" i="2"/>
  <c r="AL38" i="2"/>
  <c r="AH38" i="2"/>
  <c r="AD38" i="2"/>
  <c r="Z38" i="2"/>
  <c r="V38" i="2"/>
  <c r="R38" i="2"/>
  <c r="N38" i="2"/>
  <c r="J38" i="2"/>
  <c r="F38" i="2"/>
  <c r="AP37" i="2"/>
  <c r="AL37" i="2"/>
  <c r="AH37" i="2"/>
  <c r="AD37" i="2"/>
  <c r="Z37" i="2"/>
  <c r="V37" i="2"/>
  <c r="R37" i="2"/>
  <c r="N37" i="2"/>
  <c r="J37" i="2"/>
  <c r="F37" i="2"/>
  <c r="AP36" i="2"/>
  <c r="AL36" i="2"/>
  <c r="AH36" i="2"/>
  <c r="AD36" i="2"/>
  <c r="Z36" i="2"/>
  <c r="V36" i="2"/>
  <c r="R36" i="2"/>
  <c r="N36" i="2"/>
  <c r="J36" i="2"/>
  <c r="F36" i="2"/>
  <c r="AP35" i="2"/>
  <c r="AL35" i="2"/>
  <c r="AH35" i="2"/>
  <c r="AD35" i="2"/>
  <c r="Z35" i="2"/>
  <c r="V35" i="2"/>
  <c r="R35" i="2"/>
  <c r="N35" i="2"/>
  <c r="J35" i="2"/>
  <c r="F35" i="2"/>
  <c r="AP34" i="2"/>
  <c r="AL34" i="2"/>
  <c r="AH34" i="2"/>
  <c r="AD34" i="2"/>
  <c r="Z34" i="2"/>
  <c r="V34" i="2"/>
  <c r="R34" i="2"/>
  <c r="N34" i="2"/>
  <c r="J34" i="2"/>
  <c r="F34" i="2"/>
  <c r="AP33" i="2"/>
  <c r="AL33" i="2"/>
  <c r="AH33" i="2"/>
  <c r="AD33" i="2"/>
  <c r="Z33" i="2"/>
  <c r="V33" i="2"/>
  <c r="R33" i="2"/>
  <c r="N33" i="2"/>
  <c r="J33" i="2"/>
  <c r="F33" i="2"/>
  <c r="BK33" i="2" s="1"/>
  <c r="AP31" i="2"/>
  <c r="AL31" i="2"/>
  <c r="AH31" i="2"/>
  <c r="AD31" i="2"/>
  <c r="Z31" i="2"/>
  <c r="V31" i="2"/>
  <c r="R31" i="2"/>
  <c r="N31" i="2"/>
  <c r="J31" i="2"/>
  <c r="F31" i="2"/>
  <c r="AP30" i="2"/>
  <c r="AL30" i="2"/>
  <c r="AH30" i="2"/>
  <c r="AD30" i="2"/>
  <c r="Z30" i="2"/>
  <c r="V30" i="2"/>
  <c r="R30" i="2"/>
  <c r="N30" i="2"/>
  <c r="J30" i="2"/>
  <c r="F30" i="2"/>
  <c r="AP29" i="2"/>
  <c r="AL29" i="2"/>
  <c r="AH29" i="2"/>
  <c r="AD29" i="2"/>
  <c r="Z29" i="2"/>
  <c r="V29" i="2"/>
  <c r="R29" i="2"/>
  <c r="N29" i="2"/>
  <c r="J29" i="2"/>
  <c r="F29" i="2"/>
  <c r="AP28" i="2"/>
  <c r="AL28" i="2"/>
  <c r="AH28" i="2"/>
  <c r="AD28" i="2"/>
  <c r="Z28" i="2"/>
  <c r="V28" i="2"/>
  <c r="R28" i="2"/>
  <c r="N28" i="2"/>
  <c r="J28" i="2"/>
  <c r="F28" i="2"/>
  <c r="AP27" i="2"/>
  <c r="AL27" i="2"/>
  <c r="AH27" i="2"/>
  <c r="AD27" i="2"/>
  <c r="Z27" i="2"/>
  <c r="V27" i="2"/>
  <c r="R27" i="2"/>
  <c r="N27" i="2"/>
  <c r="J27" i="2"/>
  <c r="F27" i="2"/>
  <c r="AP26" i="2"/>
  <c r="AL26" i="2"/>
  <c r="AH26" i="2"/>
  <c r="AD26" i="2"/>
  <c r="Z26" i="2"/>
  <c r="V26" i="2"/>
  <c r="R26" i="2"/>
  <c r="N26" i="2"/>
  <c r="J26" i="2"/>
  <c r="F26" i="2"/>
  <c r="AP25" i="2"/>
  <c r="AL25" i="2"/>
  <c r="AH25" i="2"/>
  <c r="AD25" i="2"/>
  <c r="Z25" i="2"/>
  <c r="V25" i="2"/>
  <c r="R25" i="2"/>
  <c r="N25" i="2"/>
  <c r="J25" i="2"/>
  <c r="F25" i="2"/>
  <c r="AP24" i="2"/>
  <c r="AL24" i="2"/>
  <c r="AH24" i="2"/>
  <c r="AD24" i="2"/>
  <c r="Z24" i="2"/>
  <c r="V24" i="2"/>
  <c r="R24" i="2"/>
  <c r="N24" i="2"/>
  <c r="J24" i="2"/>
  <c r="F24" i="2"/>
  <c r="AP23" i="2"/>
  <c r="AL23" i="2"/>
  <c r="AH23" i="2"/>
  <c r="AD23" i="2"/>
  <c r="Z23" i="2"/>
  <c r="V23" i="2"/>
  <c r="R23" i="2"/>
  <c r="N23" i="2"/>
  <c r="J23" i="2"/>
  <c r="F23" i="2"/>
  <c r="AP22" i="2"/>
  <c r="AL22" i="2"/>
  <c r="AH22" i="2"/>
  <c r="AD22" i="2"/>
  <c r="Z22" i="2"/>
  <c r="V22" i="2"/>
  <c r="R22" i="2"/>
  <c r="N22" i="2"/>
  <c r="J22" i="2"/>
  <c r="F22" i="2"/>
  <c r="AP18" i="2"/>
  <c r="AL18" i="2"/>
  <c r="AH18" i="2"/>
  <c r="AD18" i="2"/>
  <c r="Z18" i="2"/>
  <c r="V18" i="2"/>
  <c r="R18" i="2"/>
  <c r="N18" i="2"/>
  <c r="J18" i="2"/>
  <c r="F18" i="2"/>
  <c r="AP17" i="2"/>
  <c r="AL17" i="2"/>
  <c r="AH17" i="2"/>
  <c r="AD17" i="2"/>
  <c r="Z17" i="2"/>
  <c r="V17" i="2"/>
  <c r="R17" i="2"/>
  <c r="N17" i="2"/>
  <c r="J17" i="2"/>
  <c r="F17" i="2"/>
  <c r="AP16" i="2"/>
  <c r="AL16" i="2"/>
  <c r="AH16" i="2"/>
  <c r="AD16" i="2"/>
  <c r="Z16" i="2"/>
  <c r="V16" i="2"/>
  <c r="R16" i="2"/>
  <c r="N16" i="2"/>
  <c r="J16" i="2"/>
  <c r="F16" i="2"/>
  <c r="AP15" i="2"/>
  <c r="AL15" i="2"/>
  <c r="AH15" i="2"/>
  <c r="AD15" i="2"/>
  <c r="Z15" i="2"/>
  <c r="V15" i="2"/>
  <c r="R15" i="2"/>
  <c r="N15" i="2"/>
  <c r="J15" i="2"/>
  <c r="F15" i="2"/>
  <c r="AP13" i="2"/>
  <c r="AL13" i="2"/>
  <c r="AH13" i="2"/>
  <c r="AD13" i="2"/>
  <c r="Z13" i="2"/>
  <c r="V13" i="2"/>
  <c r="R13" i="2"/>
  <c r="N13" i="2"/>
  <c r="J13" i="2"/>
  <c r="F13" i="2"/>
  <c r="AP12" i="2"/>
  <c r="AL12" i="2"/>
  <c r="AH12" i="2"/>
  <c r="AD12" i="2"/>
  <c r="Z12" i="2"/>
  <c r="V12" i="2"/>
  <c r="R12" i="2"/>
  <c r="N12" i="2"/>
  <c r="J12" i="2"/>
  <c r="F12" i="2"/>
  <c r="AP11" i="2"/>
  <c r="AL11" i="2"/>
  <c r="AH11" i="2"/>
  <c r="AD11" i="2"/>
  <c r="Z11" i="2"/>
  <c r="V11" i="2"/>
  <c r="R11" i="2"/>
  <c r="N11" i="2"/>
  <c r="J11" i="2"/>
  <c r="F11" i="2"/>
  <c r="AP10" i="2"/>
  <c r="AL10" i="2"/>
  <c r="AH10" i="2"/>
  <c r="AD10" i="2"/>
  <c r="Z10" i="2"/>
  <c r="V10" i="2"/>
  <c r="R10" i="2"/>
  <c r="N10" i="2"/>
  <c r="J10" i="2"/>
  <c r="F10" i="2"/>
  <c r="F95" i="1"/>
  <c r="F93" i="1"/>
  <c r="BK34" i="2" l="1"/>
  <c r="BK35" i="2"/>
  <c r="BN35" i="2" s="1"/>
  <c r="F96" i="1"/>
  <c r="E99" i="4"/>
  <c r="BK11" i="2"/>
  <c r="BN11" i="2" s="1"/>
  <c r="BK15" i="2"/>
  <c r="BN15" i="2" s="1"/>
  <c r="BK17" i="2"/>
  <c r="BN17" i="2" s="1"/>
  <c r="BK13" i="2"/>
  <c r="BN13" i="2" s="1"/>
  <c r="BN19" i="2"/>
  <c r="BK23" i="2"/>
  <c r="BN23" i="2" s="1"/>
  <c r="BK25" i="2"/>
  <c r="BN25" i="2" s="1"/>
  <c r="BK14" i="2"/>
  <c r="BN14" i="2" s="1"/>
  <c r="BK27" i="2"/>
  <c r="BN27" i="2" s="1"/>
  <c r="BK29" i="2"/>
  <c r="BN29" i="2" s="1"/>
  <c r="BK31" i="2"/>
  <c r="BN31" i="2" s="1"/>
  <c r="BN33" i="2"/>
  <c r="BK37" i="2"/>
  <c r="BN37" i="2" s="1"/>
  <c r="BK39" i="2"/>
  <c r="BN39" i="2" s="1"/>
  <c r="BK41" i="2"/>
  <c r="BN41" i="2" s="1"/>
  <c r="BK43" i="2"/>
  <c r="BN43" i="2" s="1"/>
  <c r="BN45" i="2"/>
  <c r="BN47" i="2"/>
  <c r="BK49" i="2"/>
  <c r="BN49" i="2" s="1"/>
  <c r="BK51" i="2"/>
  <c r="BN51" i="2" s="1"/>
  <c r="BK53" i="2"/>
  <c r="BN53" i="2" s="1"/>
  <c r="BK55" i="2"/>
  <c r="BN55" i="2" s="1"/>
  <c r="BK57" i="2"/>
  <c r="BN57" i="2" s="1"/>
  <c r="BN59" i="2"/>
  <c r="BN61" i="2"/>
  <c r="BN63" i="2"/>
  <c r="BN65" i="2"/>
  <c r="BN67" i="2"/>
  <c r="BN69" i="2"/>
  <c r="BN71" i="2"/>
  <c r="BN73" i="2"/>
  <c r="BN75" i="2"/>
  <c r="BN77" i="2"/>
  <c r="BN79" i="2"/>
  <c r="BN81" i="2"/>
  <c r="BN83" i="2"/>
  <c r="BN85" i="2"/>
  <c r="BN87" i="2"/>
  <c r="BN89" i="2"/>
  <c r="BK10" i="2"/>
  <c r="BN10" i="2" s="1"/>
  <c r="BK12" i="2"/>
  <c r="BN12" i="2" s="1"/>
  <c r="BK16" i="2"/>
  <c r="BN16" i="2" s="1"/>
  <c r="BK18" i="2"/>
  <c r="BN18" i="2" s="1"/>
  <c r="BK22" i="2"/>
  <c r="BN22" i="2" s="1"/>
  <c r="BK24" i="2"/>
  <c r="BN24" i="2" s="1"/>
  <c r="BK26" i="2"/>
  <c r="BN26" i="2" s="1"/>
  <c r="BK28" i="2"/>
  <c r="BN28" i="2" s="1"/>
  <c r="BK30" i="2"/>
  <c r="BN30" i="2" s="1"/>
  <c r="BN32" i="2"/>
  <c r="BN34" i="2"/>
  <c r="BK36" i="2"/>
  <c r="BN36" i="2" s="1"/>
  <c r="BK38" i="2"/>
  <c r="BN38" i="2" s="1"/>
  <c r="BK40" i="2"/>
  <c r="BN40" i="2" s="1"/>
  <c r="BK42" i="2"/>
  <c r="BN42" i="2" s="1"/>
  <c r="BN44" i="2"/>
  <c r="BN48" i="2"/>
  <c r="BK50" i="2"/>
  <c r="BN50" i="2" s="1"/>
  <c r="BK52" i="2"/>
  <c r="BN52" i="2" s="1"/>
  <c r="BK54" i="2"/>
  <c r="BN54" i="2" s="1"/>
  <c r="BK56" i="2"/>
  <c r="BN56" i="2" s="1"/>
  <c r="BN58" i="2"/>
  <c r="BN60" i="2"/>
  <c r="BN62" i="2"/>
  <c r="BN64" i="2"/>
  <c r="BN66" i="2"/>
  <c r="BN68" i="2"/>
  <c r="BN70" i="2"/>
  <c r="BN72" i="2"/>
  <c r="BN74" i="2"/>
  <c r="BN76" i="2"/>
  <c r="BN78" i="2"/>
  <c r="BN80" i="2"/>
  <c r="BN82" i="2"/>
  <c r="BN84" i="2"/>
  <c r="BN86" i="2"/>
  <c r="BN88" i="2"/>
  <c r="BN90" i="2"/>
</calcChain>
</file>

<file path=xl/sharedStrings.xml><?xml version="1.0" encoding="utf-8"?>
<sst xmlns="http://schemas.openxmlformats.org/spreadsheetml/2006/main" count="932" uniqueCount="271">
  <si>
    <t>Program : Computer Engineering</t>
  </si>
  <si>
    <t>Faculty Name</t>
  </si>
  <si>
    <t>A.Y</t>
  </si>
  <si>
    <t>Subject Name</t>
  </si>
  <si>
    <t>Sub.Code</t>
  </si>
  <si>
    <t>Sem</t>
  </si>
  <si>
    <t>VI</t>
  </si>
  <si>
    <t>Class</t>
  </si>
  <si>
    <t>TE</t>
  </si>
  <si>
    <t>Sr.No.</t>
  </si>
  <si>
    <t xml:space="preserve">Seat No.  </t>
  </si>
  <si>
    <t xml:space="preserve">Name of Student </t>
  </si>
  <si>
    <t xml:space="preserve">Marks </t>
  </si>
  <si>
    <t>Target Level</t>
  </si>
  <si>
    <t>PR Exam</t>
  </si>
  <si>
    <t>T190294201</t>
  </si>
  <si>
    <t>T190294202</t>
  </si>
  <si>
    <t>T190294203</t>
  </si>
  <si>
    <t>T190294204</t>
  </si>
  <si>
    <t>T190294205</t>
  </si>
  <si>
    <t>T190294206</t>
  </si>
  <si>
    <t>BAVISKAR HIMANSHU MUKUNDA</t>
  </si>
  <si>
    <t>T190294207</t>
  </si>
  <si>
    <t>T190294208</t>
  </si>
  <si>
    <t>T190294209</t>
  </si>
  <si>
    <t>T190294210</t>
  </si>
  <si>
    <t>T190294211</t>
  </si>
  <si>
    <t>BORSE SHUBHAM VILAS</t>
  </si>
  <si>
    <t>T190294212</t>
  </si>
  <si>
    <t>T190294213</t>
  </si>
  <si>
    <t>T190294214</t>
  </si>
  <si>
    <t>T190294215</t>
  </si>
  <si>
    <t>T190294216</t>
  </si>
  <si>
    <t>T190294217</t>
  </si>
  <si>
    <t>T190294218</t>
  </si>
  <si>
    <t>T190294219</t>
  </si>
  <si>
    <t>T190294221</t>
  </si>
  <si>
    <t>T190294223</t>
  </si>
  <si>
    <t>T190294224</t>
  </si>
  <si>
    <t>T190294225</t>
  </si>
  <si>
    <t>T190294226</t>
  </si>
  <si>
    <t>T190294227</t>
  </si>
  <si>
    <t>T190294228</t>
  </si>
  <si>
    <t>T190294229</t>
  </si>
  <si>
    <t>T190294230</t>
  </si>
  <si>
    <t>T190294231</t>
  </si>
  <si>
    <t>T190294233</t>
  </si>
  <si>
    <t>T190294234</t>
  </si>
  <si>
    <t>T190294235</t>
  </si>
  <si>
    <t>T190294236</t>
  </si>
  <si>
    <t>T190294237</t>
  </si>
  <si>
    <t>T190294238</t>
  </si>
  <si>
    <t>T190294239</t>
  </si>
  <si>
    <t>T190294240</t>
  </si>
  <si>
    <t>T190294241</t>
  </si>
  <si>
    <t>T190294242</t>
  </si>
  <si>
    <t>T190294243</t>
  </si>
  <si>
    <t>T190294244</t>
  </si>
  <si>
    <t>T190294245</t>
  </si>
  <si>
    <t>T190294246</t>
  </si>
  <si>
    <t>T190294247</t>
  </si>
  <si>
    <t>T190294248</t>
  </si>
  <si>
    <t>T190294250</t>
  </si>
  <si>
    <t>T190294251</t>
  </si>
  <si>
    <t>T190294252</t>
  </si>
  <si>
    <t>T190294253</t>
  </si>
  <si>
    <t>T190294254</t>
  </si>
  <si>
    <t>T190294255</t>
  </si>
  <si>
    <t>T190294256</t>
  </si>
  <si>
    <t>T190294257</t>
  </si>
  <si>
    <t>T190294259</t>
  </si>
  <si>
    <t>T190294261</t>
  </si>
  <si>
    <t>T190294262</t>
  </si>
  <si>
    <t>T190294263</t>
  </si>
  <si>
    <t>T190294264</t>
  </si>
  <si>
    <t>T190294265</t>
  </si>
  <si>
    <t>T190294266</t>
  </si>
  <si>
    <t>T190294267</t>
  </si>
  <si>
    <t>T190294268</t>
  </si>
  <si>
    <t>T190294271</t>
  </si>
  <si>
    <t>T190294272</t>
  </si>
  <si>
    <t>T190294273</t>
  </si>
  <si>
    <t>T190294274</t>
  </si>
  <si>
    <t>T190294276</t>
  </si>
  <si>
    <t>T190294277</t>
  </si>
  <si>
    <t>T190294278</t>
  </si>
  <si>
    <t>T190294279</t>
  </si>
  <si>
    <t>T190294280</t>
  </si>
  <si>
    <t>T190294281</t>
  </si>
  <si>
    <t xml:space="preserve">Number of students appeared for the exam </t>
  </si>
  <si>
    <t>Target value(Marks)</t>
  </si>
  <si>
    <t>Number of Students scoring &gt;=Target value(Marks)</t>
  </si>
  <si>
    <t>Percentage  of Students scoring &gt;=Target value(Marks)</t>
  </si>
  <si>
    <t xml:space="preserve">Target Level </t>
  </si>
  <si>
    <t>Program : Computer Enginerring</t>
  </si>
  <si>
    <t xml:space="preserve">Seat No. </t>
  </si>
  <si>
    <t>Name of the Student</t>
  </si>
  <si>
    <t>Assignment 1(10)</t>
  </si>
  <si>
    <t>Assignment 2(10)</t>
  </si>
  <si>
    <t>Assignment 3(10)</t>
  </si>
  <si>
    <t>Assignment 4(10)</t>
  </si>
  <si>
    <t>Assignment 5(10)</t>
  </si>
  <si>
    <t>Assignment 6(10)</t>
  </si>
  <si>
    <t>Assignment 7(10)</t>
  </si>
  <si>
    <t>Assignment 8(10)</t>
  </si>
  <si>
    <t>Assignment 9(10)</t>
  </si>
  <si>
    <t>Assignment 10(10)</t>
  </si>
  <si>
    <t>Timely completion, punctuality  (2)</t>
  </si>
  <si>
    <t>Performance, innovation, efficient codes (6)</t>
  </si>
  <si>
    <t>Documentation, neatness (2)</t>
  </si>
  <si>
    <t>Total (10)</t>
  </si>
  <si>
    <t xml:space="preserve">Program : Computer  Engineering </t>
  </si>
  <si>
    <t>Seat No.</t>
  </si>
  <si>
    <t>CO1</t>
  </si>
  <si>
    <t>CO2</t>
  </si>
  <si>
    <t>CO3</t>
  </si>
  <si>
    <t>CO4</t>
  </si>
  <si>
    <t>CO5</t>
  </si>
  <si>
    <t>CO6</t>
  </si>
  <si>
    <t>Assignment 1 (10)</t>
  </si>
  <si>
    <t>Assignment 2 (10)</t>
  </si>
  <si>
    <t>Total</t>
  </si>
  <si>
    <t>Assignment 3 (10)</t>
  </si>
  <si>
    <t>Assignment 4 (10)</t>
  </si>
  <si>
    <t>Assignment 9 (10)</t>
  </si>
  <si>
    <t>Assignment 10 (10)</t>
  </si>
  <si>
    <t>No. of students Participated</t>
  </si>
  <si>
    <t>Y</t>
  </si>
  <si>
    <t>N</t>
  </si>
  <si>
    <t>NA</t>
  </si>
  <si>
    <t>CO Attainment  (%)</t>
  </si>
  <si>
    <t xml:space="preserve">Average Attainment </t>
  </si>
  <si>
    <t xml:space="preserve">Program : Computer Engineering </t>
  </si>
  <si>
    <t>2022-23</t>
  </si>
  <si>
    <t xml:space="preserve">COURSE EXIT SURVEY </t>
  </si>
  <si>
    <t>Sr. No.</t>
  </si>
  <si>
    <t xml:space="preserve">Name of student </t>
  </si>
  <si>
    <t>Q1 (10M)</t>
  </si>
  <si>
    <t>Q2(10M)</t>
  </si>
  <si>
    <t>Q3 (10M)</t>
  </si>
  <si>
    <t>Q4(10M)</t>
  </si>
  <si>
    <t>AVG.</t>
  </si>
  <si>
    <t>Attainment level in percentage</t>
  </si>
  <si>
    <t>Average attainment level in percentage</t>
  </si>
  <si>
    <t>Final attainment level</t>
  </si>
  <si>
    <t>Q5(10M)</t>
  </si>
  <si>
    <t>Q6(10M)</t>
  </si>
  <si>
    <r>
      <t xml:space="preserve">                                              </t>
    </r>
    <r>
      <rPr>
        <b/>
        <sz val="14"/>
        <color theme="1"/>
        <rFont val="Times New Roman"/>
        <family val="1"/>
      </rPr>
      <t xml:space="preserve"> Table: University PR exam marks  obtained in LP-II LAB</t>
    </r>
  </si>
  <si>
    <t>310256 (C316)</t>
  </si>
  <si>
    <t xml:space="preserve">Data Science and Big Data Analytics Laboratory </t>
  </si>
  <si>
    <t>Table: Term Work marks  obtained in DSBDAL</t>
  </si>
  <si>
    <t>DSBDA</t>
  </si>
  <si>
    <t>Assignment 11(10)</t>
  </si>
  <si>
    <t>Assignment 12(10)</t>
  </si>
  <si>
    <t>Assignment 13(10)</t>
  </si>
  <si>
    <t>Assignment 14(10)</t>
  </si>
  <si>
    <t>Assignment 15(10)</t>
  </si>
  <si>
    <t>Assignment 12 (10)</t>
  </si>
  <si>
    <t>Assignment 13 (10)</t>
  </si>
  <si>
    <t>Assignment 14 (10)</t>
  </si>
  <si>
    <t>Assignment 15 (10)</t>
  </si>
  <si>
    <t>-</t>
  </si>
  <si>
    <t>C316.1</t>
  </si>
  <si>
    <t>C316.2</t>
  </si>
  <si>
    <t>C316.3</t>
  </si>
  <si>
    <t>C316.4</t>
  </si>
  <si>
    <t>C316.5</t>
  </si>
  <si>
    <t>C316.6</t>
  </si>
  <si>
    <t>C316</t>
  </si>
  <si>
    <t>Course Outcomes</t>
  </si>
  <si>
    <t>PSO1</t>
  </si>
  <si>
    <t>PSO2</t>
  </si>
  <si>
    <t>PSO3</t>
  </si>
  <si>
    <t xml:space="preserve">Overall Attainment </t>
  </si>
  <si>
    <t>Ms. R. R. Shevale ,Mr. B.S. Gholap</t>
  </si>
  <si>
    <t>ABIN BIJU</t>
  </si>
  <si>
    <t>AHER ARPITA SANDIP</t>
  </si>
  <si>
    <t>AHER SHRAVANI MANOJ</t>
  </si>
  <si>
    <t xml:space="preserve">AHIRE MANSI VINOD </t>
  </si>
  <si>
    <t>AHIRE RUTUJA SHARADCHANDRA</t>
  </si>
  <si>
    <t>AVHAD ROSHANI RAJENDRA</t>
  </si>
  <si>
    <t>BAGUL CHETAN PUNDALIK</t>
  </si>
  <si>
    <t>BHANDARE SAMRUDDHI NITIN</t>
  </si>
  <si>
    <t>BHAVSAR EKTA MANOJ</t>
  </si>
  <si>
    <t>BORASE RAINA PRASHANT</t>
  </si>
  <si>
    <t>BORASE RIDDHI PRAVIN</t>
  </si>
  <si>
    <t>CHAVAN SAKSHI ASHOK</t>
  </si>
  <si>
    <t>DANEJ PRATHAMESH GOVINDA</t>
  </si>
  <si>
    <t>DEORE PRATIK RAJENDRA</t>
  </si>
  <si>
    <t>DESHMUKH SUDHANSHU JAYANT</t>
  </si>
  <si>
    <t>DHANWATE MADHURI RAJENDRA</t>
  </si>
  <si>
    <t>DUSEJA SIDDHI ASHOK</t>
  </si>
  <si>
    <t>GANDHALIKAR TEJAS PANKAJ</t>
  </si>
  <si>
    <t>GEDAM SANIKA DEEPAK</t>
  </si>
  <si>
    <t>GORE VISHAL ANNASAHEB</t>
  </si>
  <si>
    <t>HIRE CHAITANYA ANIL</t>
  </si>
  <si>
    <t>JADHAV SAKSHI SUBHASH</t>
  </si>
  <si>
    <t>JOSHI AADITYA AJIT</t>
  </si>
  <si>
    <t>JOSHI PRATIK MILIND</t>
  </si>
  <si>
    <t>KALASKAR ADITYA GOVINDA</t>
  </si>
  <si>
    <t>KANKARIYA SHRUSHTI KALPESH</t>
  </si>
  <si>
    <t>KAREGAONKAR MANISH SUNIL</t>
  </si>
  <si>
    <t>KEDAR SIDDHESH VISHWANATH</t>
  </si>
  <si>
    <t>KESKAR OM MANDAR</t>
  </si>
  <si>
    <t>KHAIRNAR PREMROOP UDAYKUMAR</t>
  </si>
  <si>
    <t xml:space="preserve"> KHAIRNAR SAMRUDDHI MAHESH </t>
  </si>
  <si>
    <t xml:space="preserve"> KHEMNAR SIDDHI PRAKASH </t>
  </si>
  <si>
    <t xml:space="preserve"> KHOJE HARSHVARDHAN AJAY </t>
  </si>
  <si>
    <t>KOKANI DEEPAK UTTAMRAO</t>
  </si>
  <si>
    <t>KULKARNI KARTIKI RAJENDRA</t>
  </si>
  <si>
    <t>KUSHARE CHITALI GANESH</t>
  </si>
  <si>
    <t>MAHAJAN SAGAR RAJARAM</t>
  </si>
  <si>
    <t>MORE PRATIK UMESH</t>
  </si>
  <si>
    <t>NAIK TUSHAR VINOD</t>
  </si>
  <si>
    <t>NARNAWARE KUNIKA RATNAKAR</t>
  </si>
  <si>
    <t>NEMADE RIYA PRAVIN</t>
  </si>
  <si>
    <t>PADVI KAJAL SONU</t>
  </si>
  <si>
    <t>PAGARE OM SANJAY</t>
  </si>
  <si>
    <t>PARKSHIT GAJANAN GANGE</t>
  </si>
  <si>
    <t>PATEL KUSH BHIKESHBHAI</t>
  </si>
  <si>
    <t>PATIL KASTURI KIRAN</t>
  </si>
  <si>
    <t>PATIL RUPESH NANAJI</t>
  </si>
  <si>
    <t>PATIL SARVESH TUSHAR</t>
  </si>
  <si>
    <t>PATIL SUYOG DAGADU</t>
  </si>
  <si>
    <t>PATIL UMESH RANDHIR</t>
  </si>
  <si>
    <t>PAWAR AISHWARYA AVINASH</t>
  </si>
  <si>
    <t>PAWAR KSUHAL BHAGWAT</t>
  </si>
  <si>
    <t>PAWAR SANKET VIJAYRAO</t>
  </si>
  <si>
    <t>PAWAR SHANTANU SANJAY</t>
  </si>
  <si>
    <t>PAWAR VAISHNAVI SHRIRANG</t>
  </si>
  <si>
    <t>POTDAR OJASWINI ANIL</t>
  </si>
  <si>
    <t>RAJKULE SOHAN BHARAT</t>
  </si>
  <si>
    <t>ROHAN RAVI DASH</t>
  </si>
  <si>
    <t>ROKADE YASH KAILAS</t>
  </si>
  <si>
    <t>SAHIL RAMJAN</t>
  </si>
  <si>
    <t>SATHE PRATHAMESH SHASHANK</t>
  </si>
  <si>
    <t>SHEWALE PRANJAL VIJAY</t>
  </si>
  <si>
    <t>SHRIWASTAV SAYALI RATAN</t>
  </si>
  <si>
    <t>SHRUTI GOLESAR</t>
  </si>
  <si>
    <t>SONULE SUMIT BAJIRAO</t>
  </si>
  <si>
    <t>SUTRAVE AISHWARYA ARUN</t>
  </si>
  <si>
    <t>TAKANE CHETANA LAXMIKANT</t>
  </si>
  <si>
    <t>TANDALE SIDDI MUKESH</t>
  </si>
  <si>
    <t>TARLE JAJWALYA SANTOSH</t>
  </si>
  <si>
    <t>THOMBARE GEETA KISHOR</t>
  </si>
  <si>
    <t>T190294282</t>
  </si>
  <si>
    <t>UGALE DARSHAN KIRAN</t>
  </si>
  <si>
    <t>T190294283</t>
  </si>
  <si>
    <t>UMESH VIRENDRA RANE</t>
  </si>
  <si>
    <t>T190294284</t>
  </si>
  <si>
    <t>UPHADE ABHISHEK SUNIL</t>
  </si>
  <si>
    <t>T190294285</t>
  </si>
  <si>
    <t>VAISHNAV PRAGATI SANDIP</t>
  </si>
  <si>
    <t>T190294286</t>
  </si>
  <si>
    <t>VARUN KUMAR</t>
  </si>
  <si>
    <t>T190294287</t>
  </si>
  <si>
    <t>VEDANT SUNIL PATIL</t>
  </si>
  <si>
    <t>T190294288</t>
  </si>
  <si>
    <t>VISPUTE PRAJWAL KISHORE</t>
  </si>
  <si>
    <t>T190294290</t>
  </si>
  <si>
    <t>WARDE VISHAL ANKUSH</t>
  </si>
  <si>
    <t>T190294291</t>
  </si>
  <si>
    <t>YASHWANT UTTAM PATIL</t>
  </si>
  <si>
    <t>Ms. R. R. Shevale , Mr. B.S. Gholap</t>
  </si>
  <si>
    <t>CO7</t>
  </si>
  <si>
    <t>CO8</t>
  </si>
  <si>
    <t>CO9</t>
  </si>
  <si>
    <t>CO10</t>
  </si>
  <si>
    <t>CO11</t>
  </si>
  <si>
    <t>CO12</t>
  </si>
  <si>
    <t>CO-PO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</si>
</sst>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C0C0C"/>
      <name val="Times New Roman"/>
      <family val="1"/>
    </font>
    <font>
      <b/>
      <sz val="13"/>
      <color theme="1"/>
      <name val="Times New Roman"/>
      <family val="1"/>
    </font>
    <font>
      <sz val="11"/>
      <name val="Calibri"/>
      <family val="2"/>
    </font>
    <font>
      <b/>
      <sz val="13"/>
      <color rgb="FF0C0C0C"/>
      <name val="Times New Roman"/>
      <family val="1"/>
    </font>
    <font>
      <b/>
      <sz val="12"/>
      <color rgb="FF00000A"/>
      <name val="Times New Roman"/>
      <family val="1"/>
    </font>
    <font>
      <sz val="13"/>
      <color rgb="FF0C0C0C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Calibri"/>
      <family val="2"/>
    </font>
    <font>
      <sz val="16"/>
      <color theme="1"/>
      <name val="Calibri"/>
      <family val="2"/>
    </font>
    <font>
      <b/>
      <sz val="8"/>
      <color theme="1"/>
      <name val="Arial"/>
      <family val="2"/>
    </font>
    <font>
      <b/>
      <sz val="13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4"/>
      <color rgb="FF000000"/>
      <name val="Times New Roman"/>
      <family val="1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rgb="FF993300"/>
      <name val="Arial"/>
      <family val="2"/>
    </font>
    <font>
      <sz val="9"/>
      <color theme="1"/>
      <name val="Arial"/>
      <family val="2"/>
    </font>
    <font>
      <sz val="11"/>
      <color rgb="FF993300"/>
      <name val="Times New Roman"/>
      <family val="1"/>
    </font>
    <font>
      <sz val="11"/>
      <color rgb="FF0066CC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66CC"/>
      <name val="Arial"/>
      <family val="2"/>
    </font>
    <font>
      <sz val="10"/>
      <color rgb="FF31859B"/>
      <name val="Arial"/>
      <family val="2"/>
    </font>
    <font>
      <sz val="11"/>
      <color rgb="FF993300"/>
      <name val="&quot;Times New Roman&quot;"/>
    </font>
    <font>
      <sz val="13"/>
      <color theme="1"/>
      <name val="Times New Roman"/>
      <family val="1"/>
    </font>
    <font>
      <sz val="12"/>
      <color theme="1"/>
      <name val="Calibri"/>
      <family val="2"/>
    </font>
    <font>
      <sz val="12"/>
      <color rgb="FF008000"/>
      <name val="Calibri"/>
      <family val="2"/>
    </font>
    <font>
      <sz val="11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8"/>
      <color rgb="FF0C0C0C"/>
      <name val="Times New Roman"/>
      <family val="1"/>
    </font>
    <font>
      <b/>
      <sz val="11"/>
      <color rgb="FF0070C0"/>
      <name val="Arial"/>
      <family val="2"/>
    </font>
    <font>
      <sz val="11"/>
      <color theme="1"/>
      <name val="Arial"/>
      <family val="2"/>
    </font>
    <font>
      <sz val="11"/>
      <color theme="5" tint="-0.249977111117893"/>
      <name val="Times New Roman"/>
      <family val="1"/>
    </font>
    <font>
      <sz val="11"/>
      <color theme="5" tint="-0.249977111117893"/>
      <name val="&quot;Times New Roman&quot;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</font>
    <font>
      <sz val="12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theme="6"/>
        <bgColor theme="6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FFD965"/>
        <bgColor rgb="FFFFD9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B4C6E7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FFFF00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16" fillId="3" borderId="10" xfId="0" applyFont="1" applyFill="1" applyBorder="1" applyAlignment="1">
      <alignment vertical="center" wrapText="1"/>
    </xf>
    <xf numFmtId="0" fontId="1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17" fillId="0" borderId="10" xfId="0" applyFont="1" applyBorder="1" applyAlignment="1">
      <alignment horizontal="center" vertical="center"/>
    </xf>
    <xf numFmtId="10" fontId="7" fillId="0" borderId="1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22" fillId="0" borderId="0" xfId="0" applyFont="1"/>
    <xf numFmtId="0" fontId="10" fillId="0" borderId="0" xfId="0" applyFont="1"/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4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vertical="center"/>
    </xf>
    <xf numFmtId="0" fontId="27" fillId="4" borderId="10" xfId="0" applyFont="1" applyFill="1" applyBorder="1" applyAlignment="1">
      <alignment horizontal="center" vertical="center" textRotation="90" wrapText="1"/>
    </xf>
    <xf numFmtId="0" fontId="28" fillId="4" borderId="10" xfId="0" applyFont="1" applyFill="1" applyBorder="1" applyAlignment="1">
      <alignment horizontal="center" vertical="center" wrapText="1"/>
    </xf>
    <xf numFmtId="0" fontId="29" fillId="4" borderId="10" xfId="0" applyFont="1" applyFill="1" applyBorder="1" applyAlignment="1">
      <alignment horizontal="center" vertical="center" wrapText="1"/>
    </xf>
    <xf numFmtId="164" fontId="28" fillId="4" borderId="10" xfId="0" applyNumberFormat="1" applyFont="1" applyFill="1" applyBorder="1" applyAlignment="1">
      <alignment horizontal="center" vertical="center" wrapText="1"/>
    </xf>
    <xf numFmtId="164" fontId="28" fillId="3" borderId="10" xfId="0" applyNumberFormat="1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 wrapText="1"/>
    </xf>
    <xf numFmtId="0" fontId="5" fillId="0" borderId="10" xfId="0" applyFont="1" applyBorder="1"/>
    <xf numFmtId="0" fontId="5" fillId="0" borderId="10" xfId="0" applyFont="1" applyBorder="1" applyAlignment="1">
      <alignment vertical="center"/>
    </xf>
    <xf numFmtId="0" fontId="5" fillId="0" borderId="25" xfId="0" applyFont="1" applyBorder="1"/>
    <xf numFmtId="9" fontId="5" fillId="0" borderId="10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10" fillId="0" borderId="10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4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35" fillId="0" borderId="0" xfId="0" applyFont="1"/>
    <xf numFmtId="0" fontId="36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16" fillId="3" borderId="27" xfId="0" applyFont="1" applyFill="1" applyBorder="1" applyAlignment="1">
      <alignment horizontal="center" vertical="center" wrapText="1"/>
    </xf>
    <xf numFmtId="164" fontId="16" fillId="4" borderId="10" xfId="0" applyNumberFormat="1" applyFont="1" applyFill="1" applyBorder="1" applyAlignment="1">
      <alignment horizontal="center" vertical="center" wrapText="1"/>
    </xf>
    <xf numFmtId="0" fontId="5" fillId="0" borderId="14" xfId="0" applyFont="1" applyBorder="1"/>
    <xf numFmtId="0" fontId="16" fillId="2" borderId="14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164" fontId="16" fillId="0" borderId="7" xfId="0" applyNumberFormat="1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/>
    </xf>
    <xf numFmtId="0" fontId="40" fillId="0" borderId="31" xfId="0" applyFont="1" applyBorder="1" applyAlignment="1">
      <alignment horizontal="center"/>
    </xf>
    <xf numFmtId="0" fontId="4" fillId="0" borderId="0" xfId="0" applyFont="1"/>
    <xf numFmtId="0" fontId="19" fillId="4" borderId="0" xfId="0" applyFont="1" applyFill="1" applyAlignment="1">
      <alignment vertical="center"/>
    </xf>
    <xf numFmtId="0" fontId="19" fillId="4" borderId="14" xfId="0" applyFont="1" applyFill="1" applyBorder="1" applyAlignment="1">
      <alignment vertical="center"/>
    </xf>
    <xf numFmtId="0" fontId="19" fillId="3" borderId="14" xfId="0" applyFont="1" applyFill="1" applyBorder="1" applyAlignment="1">
      <alignment vertical="center"/>
    </xf>
    <xf numFmtId="0" fontId="5" fillId="4" borderId="28" xfId="0" applyFont="1" applyFill="1" applyBorder="1" applyAlignment="1">
      <alignment vertical="center"/>
    </xf>
    <xf numFmtId="0" fontId="33" fillId="8" borderId="20" xfId="0" applyFont="1" applyFill="1" applyBorder="1" applyAlignment="1">
      <alignment horizontal="center" wrapText="1"/>
    </xf>
    <xf numFmtId="0" fontId="16" fillId="2" borderId="9" xfId="0" applyFont="1" applyFill="1" applyBorder="1" applyAlignment="1">
      <alignment horizontal="center" vertical="center" wrapText="1"/>
    </xf>
    <xf numFmtId="0" fontId="5" fillId="0" borderId="28" xfId="0" applyFont="1" applyBorder="1"/>
    <xf numFmtId="0" fontId="16" fillId="2" borderId="7" xfId="0" applyFont="1" applyFill="1" applyBorder="1" applyAlignment="1">
      <alignment horizontal="center" vertical="center" wrapText="1"/>
    </xf>
    <xf numFmtId="0" fontId="38" fillId="0" borderId="33" xfId="0" applyFont="1" applyBorder="1" applyAlignment="1">
      <alignment horizontal="center"/>
    </xf>
    <xf numFmtId="0" fontId="32" fillId="0" borderId="11" xfId="0" applyFont="1" applyBorder="1" applyAlignment="1">
      <alignment horizontal="center" vertical="center" textRotation="90" wrapText="1"/>
    </xf>
    <xf numFmtId="0" fontId="43" fillId="0" borderId="2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4" fillId="4" borderId="14" xfId="0" applyFont="1" applyFill="1" applyBorder="1" applyAlignment="1">
      <alignment horizontal="center" vertical="center" wrapText="1"/>
    </xf>
    <xf numFmtId="0" fontId="32" fillId="0" borderId="25" xfId="0" applyFont="1" applyBorder="1" applyAlignment="1">
      <alignment horizontal="center" vertical="center" textRotation="90" wrapText="1"/>
    </xf>
    <xf numFmtId="0" fontId="5" fillId="0" borderId="11" xfId="0" applyFont="1" applyBorder="1" applyAlignment="1">
      <alignment horizontal="center" vertical="center"/>
    </xf>
    <xf numFmtId="0" fontId="44" fillId="4" borderId="28" xfId="0" applyFont="1" applyFill="1" applyBorder="1" applyAlignment="1">
      <alignment horizontal="center" vertical="center" wrapText="1"/>
    </xf>
    <xf numFmtId="0" fontId="45" fillId="8" borderId="28" xfId="0" applyFont="1" applyFill="1" applyBorder="1" applyAlignment="1">
      <alignment horizontal="center" wrapText="1"/>
    </xf>
    <xf numFmtId="0" fontId="47" fillId="9" borderId="28" xfId="0" applyFont="1" applyFill="1" applyBorder="1" applyAlignment="1">
      <alignment horizontal="center" vertical="center"/>
    </xf>
    <xf numFmtId="0" fontId="46" fillId="0" borderId="28" xfId="0" applyFont="1" applyBorder="1" applyAlignment="1">
      <alignment horizontal="center"/>
    </xf>
    <xf numFmtId="9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9" fontId="5" fillId="0" borderId="28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28" xfId="0" applyBorder="1"/>
    <xf numFmtId="0" fontId="48" fillId="0" borderId="38" xfId="0" applyFont="1" applyBorder="1" applyAlignment="1">
      <alignment horizontal="center" wrapText="1"/>
    </xf>
    <xf numFmtId="0" fontId="48" fillId="0" borderId="39" xfId="0" applyFont="1" applyBorder="1" applyAlignment="1">
      <alignment horizontal="center" wrapText="1"/>
    </xf>
    <xf numFmtId="0" fontId="16" fillId="0" borderId="38" xfId="0" applyFont="1" applyBorder="1" applyAlignment="1">
      <alignment horizontal="center" vertical="top" wrapText="1"/>
    </xf>
    <xf numFmtId="0" fontId="16" fillId="0" borderId="40" xfId="0" applyFont="1" applyBorder="1" applyAlignment="1">
      <alignment horizontal="center" vertical="top" wrapText="1"/>
    </xf>
    <xf numFmtId="0" fontId="48" fillId="0" borderId="40" xfId="0" applyFont="1" applyBorder="1" applyAlignment="1">
      <alignment horizontal="center" wrapText="1"/>
    </xf>
    <xf numFmtId="0" fontId="48" fillId="0" borderId="41" xfId="0" applyFont="1" applyBorder="1" applyAlignment="1">
      <alignment horizontal="center" wrapText="1"/>
    </xf>
    <xf numFmtId="0" fontId="16" fillId="0" borderId="28" xfId="0" applyFont="1" applyBorder="1" applyAlignment="1">
      <alignment horizontal="center" vertical="top" wrapText="1"/>
    </xf>
    <xf numFmtId="0" fontId="48" fillId="0" borderId="28" xfId="0" applyFont="1" applyBorder="1" applyAlignment="1">
      <alignment horizontal="center" wrapText="1"/>
    </xf>
    <xf numFmtId="0" fontId="30" fillId="0" borderId="36" xfId="0" applyFont="1" applyBorder="1" applyAlignment="1">
      <alignment horizontal="center" vertical="top" wrapText="1"/>
    </xf>
    <xf numFmtId="0" fontId="16" fillId="0" borderId="37" xfId="0" applyFont="1" applyBorder="1" applyAlignment="1">
      <alignment horizontal="center" wrapText="1"/>
    </xf>
    <xf numFmtId="0" fontId="16" fillId="0" borderId="39" xfId="0" applyFont="1" applyBorder="1" applyAlignment="1">
      <alignment horizontal="center" wrapText="1"/>
    </xf>
    <xf numFmtId="0" fontId="16" fillId="0" borderId="39" xfId="0" applyFont="1" applyBorder="1" applyAlignment="1">
      <alignment horizontal="center" vertical="top" wrapText="1"/>
    </xf>
    <xf numFmtId="0" fontId="3" fillId="0" borderId="0" xfId="0" applyFont="1"/>
    <xf numFmtId="0" fontId="27" fillId="15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27" fillId="0" borderId="10" xfId="0" applyFont="1" applyBorder="1" applyAlignment="1">
      <alignment horizontal="left" vertical="center" wrapText="1"/>
    </xf>
    <xf numFmtId="0" fontId="27" fillId="12" borderId="10" xfId="0" applyFont="1" applyFill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/>
    <xf numFmtId="0" fontId="27" fillId="0" borderId="3" xfId="0" applyFont="1" applyBorder="1" applyAlignment="1">
      <alignment wrapText="1"/>
    </xf>
    <xf numFmtId="0" fontId="27" fillId="3" borderId="6" xfId="0" applyFont="1" applyFill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4" borderId="6" xfId="0" applyFont="1" applyFill="1" applyBorder="1" applyAlignment="1">
      <alignment wrapText="1"/>
    </xf>
    <xf numFmtId="0" fontId="27" fillId="0" borderId="10" xfId="0" applyFont="1" applyBorder="1" applyAlignment="1">
      <alignment horizontal="center" vertical="center" wrapText="1"/>
    </xf>
    <xf numFmtId="0" fontId="27" fillId="12" borderId="10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27" fillId="3" borderId="4" xfId="0" applyFont="1" applyFill="1" applyBorder="1" applyAlignment="1">
      <alignment wrapText="1"/>
    </xf>
    <xf numFmtId="0" fontId="27" fillId="0" borderId="4" xfId="0" applyFont="1" applyBorder="1" applyAlignment="1">
      <alignment wrapText="1"/>
    </xf>
    <xf numFmtId="0" fontId="27" fillId="11" borderId="4" xfId="0" applyFont="1" applyFill="1" applyBorder="1" applyAlignment="1">
      <alignment wrapText="1"/>
    </xf>
    <xf numFmtId="0" fontId="27" fillId="13" borderId="10" xfId="0" applyFont="1" applyFill="1" applyBorder="1" applyAlignment="1">
      <alignment horizontal="center" vertical="center" wrapText="1"/>
    </xf>
    <xf numFmtId="0" fontId="2" fillId="13" borderId="10" xfId="0" applyFont="1" applyFill="1" applyBorder="1"/>
    <xf numFmtId="0" fontId="27" fillId="13" borderId="10" xfId="0" applyFont="1" applyFill="1" applyBorder="1" applyAlignment="1">
      <alignment horizontal="left" vertical="center" wrapText="1"/>
    </xf>
    <xf numFmtId="0" fontId="16" fillId="10" borderId="10" xfId="0" applyFont="1" applyFill="1" applyBorder="1" applyAlignment="1">
      <alignment horizontal="center" vertical="center"/>
    </xf>
    <xf numFmtId="0" fontId="35" fillId="10" borderId="10" xfId="0" applyFont="1" applyFill="1" applyBorder="1" applyAlignment="1">
      <alignment horizontal="center" vertical="center"/>
    </xf>
    <xf numFmtId="0" fontId="16" fillId="12" borderId="10" xfId="0" applyFont="1" applyFill="1" applyBorder="1" applyAlignment="1">
      <alignment horizontal="center" vertical="center"/>
    </xf>
    <xf numFmtId="0" fontId="35" fillId="3" borderId="10" xfId="0" applyFont="1" applyFill="1" applyBorder="1" applyAlignment="1">
      <alignment horizontal="center" vertical="center"/>
    </xf>
    <xf numFmtId="0" fontId="35" fillId="14" borderId="10" xfId="0" applyFont="1" applyFill="1" applyBorder="1" applyAlignment="1">
      <alignment horizontal="center" vertical="center"/>
    </xf>
    <xf numFmtId="0" fontId="27" fillId="15" borderId="10" xfId="0" applyFont="1" applyFill="1" applyBorder="1" applyAlignment="1">
      <alignment horizontal="left" vertical="center" wrapText="1"/>
    </xf>
    <xf numFmtId="0" fontId="27" fillId="9" borderId="10" xfId="0" applyFont="1" applyFill="1" applyBorder="1" applyAlignment="1">
      <alignment horizontal="center" vertical="center" wrapText="1"/>
    </xf>
    <xf numFmtId="0" fontId="27" fillId="9" borderId="10" xfId="0" applyFont="1" applyFill="1" applyBorder="1" applyAlignment="1">
      <alignment horizontal="left" vertical="center" wrapText="1"/>
    </xf>
    <xf numFmtId="0" fontId="35" fillId="16" borderId="10" xfId="0" applyFont="1" applyFill="1" applyBorder="1" applyAlignment="1">
      <alignment horizontal="center" vertical="center"/>
    </xf>
    <xf numFmtId="0" fontId="32" fillId="0" borderId="14" xfId="0" applyFont="1" applyBorder="1" applyAlignment="1">
      <alignment horizontal="center" vertical="center" textRotation="90" wrapText="1"/>
    </xf>
    <xf numFmtId="0" fontId="0" fillId="0" borderId="34" xfId="0" applyBorder="1" applyAlignment="1">
      <alignment horizontal="center" vertical="center"/>
    </xf>
    <xf numFmtId="0" fontId="28" fillId="0" borderId="11" xfId="0" applyFont="1" applyBorder="1" applyAlignment="1">
      <alignment horizontal="center" vertical="center" wrapText="1"/>
    </xf>
    <xf numFmtId="0" fontId="32" fillId="0" borderId="28" xfId="0" applyFont="1" applyBorder="1" applyAlignment="1">
      <alignment horizontal="center" vertical="center" textRotation="90" wrapText="1"/>
    </xf>
    <xf numFmtId="0" fontId="33" fillId="8" borderId="28" xfId="0" applyFont="1" applyFill="1" applyBorder="1" applyAlignment="1">
      <alignment horizontal="center" wrapText="1"/>
    </xf>
    <xf numFmtId="0" fontId="5" fillId="0" borderId="14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 wrapText="1"/>
    </xf>
    <xf numFmtId="0" fontId="27" fillId="12" borderId="14" xfId="0" applyFont="1" applyFill="1" applyBorder="1" applyAlignment="1">
      <alignment horizontal="left" vertical="center" wrapText="1"/>
    </xf>
    <xf numFmtId="0" fontId="2" fillId="0" borderId="14" xfId="0" applyFont="1" applyBorder="1"/>
    <xf numFmtId="0" fontId="2" fillId="13" borderId="14" xfId="0" applyFont="1" applyFill="1" applyBorder="1"/>
    <xf numFmtId="0" fontId="27" fillId="13" borderId="14" xfId="0" applyFont="1" applyFill="1" applyBorder="1" applyAlignment="1">
      <alignment horizontal="left" vertical="center" wrapText="1"/>
    </xf>
    <xf numFmtId="0" fontId="27" fillId="0" borderId="43" xfId="0" applyFont="1" applyBorder="1" applyAlignment="1">
      <alignment wrapText="1"/>
    </xf>
    <xf numFmtId="0" fontId="27" fillId="3" borderId="5" xfId="0" applyFont="1" applyFill="1" applyBorder="1" applyAlignment="1">
      <alignment wrapText="1"/>
    </xf>
    <xf numFmtId="0" fontId="27" fillId="0" borderId="5" xfId="0" applyFont="1" applyBorder="1" applyAlignment="1">
      <alignment wrapText="1"/>
    </xf>
    <xf numFmtId="0" fontId="27" fillId="4" borderId="5" xfId="0" applyFont="1" applyFill="1" applyBorder="1" applyAlignment="1">
      <alignment wrapText="1"/>
    </xf>
    <xf numFmtId="0" fontId="1" fillId="0" borderId="28" xfId="0" applyFont="1" applyBorder="1" applyAlignment="1">
      <alignment horizontal="center"/>
    </xf>
    <xf numFmtId="0" fontId="50" fillId="0" borderId="28" xfId="0" applyFont="1" applyBorder="1" applyAlignment="1">
      <alignment horizontal="center"/>
    </xf>
    <xf numFmtId="0" fontId="1" fillId="0" borderId="28" xfId="0" applyFont="1" applyBorder="1"/>
    <xf numFmtId="0" fontId="51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52" fillId="0" borderId="28" xfId="0" applyFont="1" applyBorder="1" applyAlignment="1">
      <alignment horizontal="center"/>
    </xf>
    <xf numFmtId="0" fontId="16" fillId="0" borderId="44" xfId="0" applyFont="1" applyBorder="1" applyAlignment="1">
      <alignment horizontal="center" vertical="top" wrapText="1"/>
    </xf>
    <xf numFmtId="0" fontId="16" fillId="0" borderId="45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left"/>
    </xf>
    <xf numFmtId="0" fontId="11" fillId="0" borderId="15" xfId="0" applyFont="1" applyBorder="1"/>
    <xf numFmtId="0" fontId="6" fillId="0" borderId="14" xfId="0" applyFont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0" borderId="0" xfId="0"/>
    <xf numFmtId="0" fontId="10" fillId="0" borderId="2" xfId="0" applyFont="1" applyBorder="1" applyAlignment="1">
      <alignment horizontal="center"/>
    </xf>
    <xf numFmtId="0" fontId="11" fillId="0" borderId="3" xfId="0" applyFont="1" applyBorder="1"/>
    <xf numFmtId="0" fontId="15" fillId="0" borderId="2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1" fillId="0" borderId="11" xfId="0" applyFont="1" applyBorder="1"/>
    <xf numFmtId="0" fontId="16" fillId="2" borderId="8" xfId="0" applyFont="1" applyFill="1" applyBorder="1" applyAlignment="1">
      <alignment horizontal="center" vertical="center" wrapText="1"/>
    </xf>
    <xf numFmtId="0" fontId="11" fillId="0" borderId="12" xfId="0" applyFont="1" applyBorder="1"/>
    <xf numFmtId="0" fontId="16" fillId="2" borderId="9" xfId="0" applyFont="1" applyFill="1" applyBorder="1" applyAlignment="1">
      <alignment horizontal="center" vertical="center" wrapText="1"/>
    </xf>
    <xf numFmtId="0" fontId="11" fillId="0" borderId="13" xfId="0" applyFont="1" applyBorder="1"/>
    <xf numFmtId="0" fontId="10" fillId="0" borderId="14" xfId="0" applyFont="1" applyBorder="1" applyAlignment="1">
      <alignment horizontal="center"/>
    </xf>
    <xf numFmtId="0" fontId="11" fillId="0" borderId="16" xfId="0" applyFont="1" applyBorder="1"/>
    <xf numFmtId="0" fontId="1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wrapText="1"/>
    </xf>
    <xf numFmtId="0" fontId="21" fillId="0" borderId="16" xfId="0" applyFont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12" fillId="0" borderId="14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26" fillId="6" borderId="14" xfId="0" applyFont="1" applyFill="1" applyBorder="1" applyAlignment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/>
    </xf>
    <xf numFmtId="0" fontId="22" fillId="0" borderId="17" xfId="0" applyFont="1" applyBorder="1" applyAlignment="1">
      <alignment horizontal="center" vertical="center" wrapText="1"/>
    </xf>
    <xf numFmtId="0" fontId="11" fillId="0" borderId="18" xfId="0" applyFont="1" applyBorder="1"/>
    <xf numFmtId="0" fontId="22" fillId="4" borderId="7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11" fillId="0" borderId="29" xfId="0" applyFont="1" applyBorder="1"/>
    <xf numFmtId="0" fontId="31" fillId="0" borderId="9" xfId="0" applyFont="1" applyBorder="1" applyAlignment="1">
      <alignment horizontal="center" vertical="center" wrapText="1"/>
    </xf>
    <xf numFmtId="0" fontId="11" fillId="0" borderId="42" xfId="0" applyFont="1" applyBorder="1"/>
    <xf numFmtId="0" fontId="11" fillId="0" borderId="8" xfId="0" applyFont="1" applyBorder="1"/>
    <xf numFmtId="0" fontId="30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 wrapText="1"/>
    </xf>
    <xf numFmtId="0" fontId="31" fillId="0" borderId="35" xfId="0" applyFont="1" applyBorder="1" applyAlignment="1">
      <alignment horizontal="center" vertical="center" wrapText="1"/>
    </xf>
    <xf numFmtId="0" fontId="31" fillId="0" borderId="32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vertical="center"/>
    </xf>
    <xf numFmtId="0" fontId="5" fillId="9" borderId="16" xfId="0" applyFont="1" applyFill="1" applyBorder="1" applyAlignment="1">
      <alignment vertical="center"/>
    </xf>
    <xf numFmtId="0" fontId="5" fillId="9" borderId="15" xfId="0" applyFont="1" applyFill="1" applyBorder="1" applyAlignment="1">
      <alignment vertical="center"/>
    </xf>
    <xf numFmtId="0" fontId="5" fillId="9" borderId="14" xfId="0" applyFont="1" applyFill="1" applyBorder="1" applyAlignment="1">
      <alignment horizontal="center" vertical="center"/>
    </xf>
    <xf numFmtId="0" fontId="5" fillId="9" borderId="16" xfId="0" applyFont="1" applyFill="1" applyBorder="1" applyAlignment="1">
      <alignment horizontal="center" vertical="center"/>
    </xf>
    <xf numFmtId="0" fontId="5" fillId="9" borderId="1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0" borderId="19" xfId="0" applyFont="1" applyBorder="1" applyAlignment="1">
      <alignment horizontal="center"/>
    </xf>
    <xf numFmtId="0" fontId="11" fillId="0" borderId="30" xfId="0" applyFont="1" applyBorder="1"/>
    <xf numFmtId="0" fontId="10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11" fillId="0" borderId="24" xfId="0" applyFont="1" applyBorder="1"/>
    <xf numFmtId="0" fontId="21" fillId="0" borderId="28" xfId="0" applyFont="1" applyBorder="1" applyAlignment="1">
      <alignment horizontal="center" vertical="center" wrapText="1"/>
    </xf>
    <xf numFmtId="0" fontId="41" fillId="0" borderId="2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1" fillId="0" borderId="25" xfId="0" applyFont="1" applyBorder="1"/>
    <xf numFmtId="0" fontId="16" fillId="3" borderId="9" xfId="0" applyFont="1" applyFill="1" applyBorder="1" applyAlignment="1">
      <alignment horizontal="center" vertical="center" wrapText="1"/>
    </xf>
    <xf numFmtId="0" fontId="11" fillId="0" borderId="26" xfId="0" applyFont="1" applyBorder="1"/>
    <xf numFmtId="0" fontId="16" fillId="0" borderId="17" xfId="0" applyFont="1" applyBorder="1" applyAlignment="1">
      <alignment horizontal="center" vertical="center" wrapText="1"/>
    </xf>
    <xf numFmtId="0" fontId="11" fillId="0" borderId="22" xfId="0" applyFont="1" applyBorder="1"/>
    <xf numFmtId="0" fontId="34" fillId="0" borderId="14" xfId="0" applyFont="1" applyBorder="1" applyAlignment="1">
      <alignment horizontal="center" vertical="center" wrapText="1"/>
    </xf>
    <xf numFmtId="2" fontId="16" fillId="0" borderId="28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5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74" zoomScale="130" zoomScaleNormal="130" workbookViewId="0">
      <selection activeCell="F100" sqref="F100"/>
    </sheetView>
  </sheetViews>
  <sheetFormatPr defaultRowHeight="15" customHeight="1"/>
  <cols>
    <col min="1" max="1" width="8" customWidth="1"/>
    <col min="2" max="2" width="8.6640625" customWidth="1"/>
    <col min="3" max="3" width="10" customWidth="1"/>
    <col min="4" max="4" width="17.88671875" customWidth="1"/>
    <col min="5" max="5" width="46.6640625" customWidth="1"/>
    <col min="6" max="6" width="13" customWidth="1"/>
    <col min="7" max="7" width="13.33203125" customWidth="1"/>
    <col min="8" max="8" width="19.88671875" customWidth="1"/>
    <col min="9" max="10" width="8" customWidth="1"/>
  </cols>
  <sheetData>
    <row r="1" spans="1:10" ht="14.4">
      <c r="D1" s="1"/>
    </row>
    <row r="2" spans="1:10" ht="18.75" customHeight="1">
      <c r="B2" s="2"/>
      <c r="C2" s="3"/>
      <c r="D2" s="1"/>
      <c r="E2" s="4" t="s">
        <v>0</v>
      </c>
    </row>
    <row r="3" spans="1:10" ht="19.5" customHeight="1">
      <c r="B3" s="5"/>
      <c r="C3" s="5"/>
      <c r="D3" s="169"/>
      <c r="E3" s="170"/>
    </row>
    <row r="4" spans="1:10" ht="19.5" customHeight="1">
      <c r="B4" s="5"/>
      <c r="C4" s="5"/>
      <c r="D4" s="7" t="s">
        <v>1</v>
      </c>
      <c r="E4" s="73" t="s">
        <v>174</v>
      </c>
      <c r="F4" s="171" t="s">
        <v>2</v>
      </c>
      <c r="G4" s="172"/>
      <c r="H4" s="8" t="s">
        <v>133</v>
      </c>
    </row>
    <row r="5" spans="1:10" ht="19.5" customHeight="1">
      <c r="B5" s="5"/>
      <c r="C5" s="5"/>
      <c r="D5" s="7" t="s">
        <v>3</v>
      </c>
      <c r="E5" s="74" t="s">
        <v>149</v>
      </c>
      <c r="F5" s="171" t="s">
        <v>4</v>
      </c>
      <c r="G5" s="172"/>
      <c r="H5" s="9" t="s">
        <v>148</v>
      </c>
    </row>
    <row r="6" spans="1:10" ht="19.5" customHeight="1">
      <c r="B6" s="5"/>
      <c r="D6" s="10" t="s">
        <v>5</v>
      </c>
      <c r="E6" s="11" t="s">
        <v>6</v>
      </c>
      <c r="F6" s="173" t="s">
        <v>7</v>
      </c>
      <c r="G6" s="172"/>
      <c r="H6" s="12" t="s">
        <v>8</v>
      </c>
    </row>
    <row r="7" spans="1:10" ht="18.75" customHeight="1">
      <c r="B7" s="5"/>
      <c r="D7" s="13"/>
      <c r="E7" s="14"/>
      <c r="F7" s="15"/>
      <c r="G7" s="15"/>
      <c r="H7" s="16"/>
    </row>
    <row r="8" spans="1:10" ht="18.75" customHeight="1">
      <c r="A8" s="174" t="s">
        <v>147</v>
      </c>
      <c r="B8" s="170"/>
      <c r="C8" s="170"/>
      <c r="D8" s="170"/>
      <c r="E8" s="170"/>
      <c r="F8" s="170"/>
      <c r="G8" s="170"/>
      <c r="H8" s="170"/>
      <c r="I8" s="170"/>
      <c r="J8" s="170"/>
    </row>
    <row r="9" spans="1:10" ht="14.4">
      <c r="D9" s="1"/>
      <c r="G9" s="18"/>
      <c r="H9" s="18"/>
    </row>
    <row r="10" spans="1:10" ht="15.75" customHeight="1">
      <c r="C10" s="175" t="s">
        <v>9</v>
      </c>
      <c r="D10" s="177" t="s">
        <v>10</v>
      </c>
      <c r="E10" s="179" t="s">
        <v>11</v>
      </c>
      <c r="F10" s="19" t="s">
        <v>12</v>
      </c>
      <c r="G10" s="175" t="s">
        <v>13</v>
      </c>
      <c r="H10" s="18"/>
    </row>
    <row r="11" spans="1:10" ht="15.75" customHeight="1">
      <c r="C11" s="176"/>
      <c r="D11" s="178"/>
      <c r="E11" s="180"/>
      <c r="F11" s="19" t="s">
        <v>14</v>
      </c>
      <c r="G11" s="176"/>
      <c r="H11" s="18"/>
    </row>
    <row r="12" spans="1:10" ht="15.75" customHeight="1">
      <c r="C12" s="20">
        <v>1</v>
      </c>
      <c r="D12" s="125" t="s">
        <v>15</v>
      </c>
      <c r="E12" s="116" t="s">
        <v>175</v>
      </c>
      <c r="F12" s="134">
        <v>15</v>
      </c>
      <c r="G12" s="21" t="str">
        <f>IF(F12&gt;=18,"Y","N")</f>
        <v>N</v>
      </c>
      <c r="H12" s="18"/>
    </row>
    <row r="13" spans="1:10" ht="15.75" customHeight="1">
      <c r="C13" s="20">
        <v>2</v>
      </c>
      <c r="D13" s="125" t="s">
        <v>16</v>
      </c>
      <c r="E13" s="116" t="s">
        <v>176</v>
      </c>
      <c r="F13" s="134">
        <v>16</v>
      </c>
      <c r="G13" s="21" t="str">
        <f t="shared" ref="G13:G76" si="0">IF(F13&gt;=18,"Y","N")</f>
        <v>N</v>
      </c>
      <c r="H13" s="22"/>
    </row>
    <row r="14" spans="1:10" ht="15.75" customHeight="1">
      <c r="C14" s="20">
        <v>3</v>
      </c>
      <c r="D14" s="125" t="s">
        <v>17</v>
      </c>
      <c r="E14" s="116" t="s">
        <v>177</v>
      </c>
      <c r="F14" s="134">
        <v>18</v>
      </c>
      <c r="G14" s="21" t="str">
        <f t="shared" si="0"/>
        <v>Y</v>
      </c>
      <c r="H14" s="22"/>
      <c r="J14" s="23"/>
    </row>
    <row r="15" spans="1:10" ht="15.75" customHeight="1">
      <c r="C15" s="20">
        <v>4</v>
      </c>
      <c r="D15" s="125" t="s">
        <v>18</v>
      </c>
      <c r="E15" s="116" t="s">
        <v>178</v>
      </c>
      <c r="F15" s="134">
        <v>21</v>
      </c>
      <c r="G15" s="21" t="str">
        <f t="shared" si="0"/>
        <v>Y</v>
      </c>
      <c r="H15" s="22"/>
    </row>
    <row r="16" spans="1:10" ht="15.75" customHeight="1">
      <c r="C16" s="20">
        <v>5</v>
      </c>
      <c r="D16" s="125" t="s">
        <v>19</v>
      </c>
      <c r="E16" s="116" t="s">
        <v>179</v>
      </c>
      <c r="F16" s="134">
        <v>23</v>
      </c>
      <c r="G16" s="21" t="str">
        <f t="shared" si="0"/>
        <v>Y</v>
      </c>
      <c r="H16" s="22"/>
    </row>
    <row r="17" spans="3:8" ht="15.75" customHeight="1">
      <c r="C17" s="20">
        <v>6</v>
      </c>
      <c r="D17" s="125" t="s">
        <v>20</v>
      </c>
      <c r="E17" s="116" t="s">
        <v>180</v>
      </c>
      <c r="F17" s="134">
        <v>16</v>
      </c>
      <c r="G17" s="21" t="str">
        <f t="shared" si="0"/>
        <v>N</v>
      </c>
      <c r="H17" s="22"/>
    </row>
    <row r="18" spans="3:8" ht="15.75" customHeight="1">
      <c r="C18" s="20">
        <v>7</v>
      </c>
      <c r="D18" s="125" t="s">
        <v>22</v>
      </c>
      <c r="E18" s="116" t="s">
        <v>181</v>
      </c>
      <c r="F18" s="134">
        <v>7</v>
      </c>
      <c r="G18" s="21" t="str">
        <f t="shared" si="0"/>
        <v>N</v>
      </c>
      <c r="H18" s="22"/>
    </row>
    <row r="19" spans="3:8" ht="15.75" customHeight="1">
      <c r="C19" s="20">
        <v>8</v>
      </c>
      <c r="D19" s="125" t="s">
        <v>23</v>
      </c>
      <c r="E19" s="117" t="s">
        <v>21</v>
      </c>
      <c r="F19" s="134">
        <v>16</v>
      </c>
      <c r="G19" s="21" t="str">
        <f t="shared" si="0"/>
        <v>N</v>
      </c>
      <c r="H19" s="22"/>
    </row>
    <row r="20" spans="3:8" ht="15.75" customHeight="1">
      <c r="C20" s="20">
        <v>9</v>
      </c>
      <c r="D20" s="125" t="s">
        <v>24</v>
      </c>
      <c r="E20" s="117" t="s">
        <v>182</v>
      </c>
      <c r="F20" s="134">
        <v>21</v>
      </c>
      <c r="G20" s="21" t="str">
        <f t="shared" si="0"/>
        <v>Y</v>
      </c>
      <c r="H20" s="22"/>
    </row>
    <row r="21" spans="3:8" ht="15.75" customHeight="1">
      <c r="C21" s="20">
        <v>10</v>
      </c>
      <c r="D21" s="125" t="s">
        <v>25</v>
      </c>
      <c r="E21" s="117" t="s">
        <v>183</v>
      </c>
      <c r="F21" s="134">
        <v>21</v>
      </c>
      <c r="G21" s="21" t="str">
        <f t="shared" si="0"/>
        <v>Y</v>
      </c>
      <c r="H21" s="22"/>
    </row>
    <row r="22" spans="3:8" ht="15.75" customHeight="1">
      <c r="C22" s="20">
        <v>11</v>
      </c>
      <c r="D22" s="125" t="s">
        <v>26</v>
      </c>
      <c r="E22" s="117" t="s">
        <v>184</v>
      </c>
      <c r="F22" s="134">
        <v>20</v>
      </c>
      <c r="G22" s="21" t="str">
        <f t="shared" si="0"/>
        <v>Y</v>
      </c>
      <c r="H22" s="22"/>
    </row>
    <row r="23" spans="3:8" ht="15.75" customHeight="1">
      <c r="C23" s="20">
        <v>12</v>
      </c>
      <c r="D23" s="125" t="s">
        <v>28</v>
      </c>
      <c r="E23" s="117" t="s">
        <v>185</v>
      </c>
      <c r="F23" s="134">
        <v>15</v>
      </c>
      <c r="G23" s="21" t="str">
        <f t="shared" si="0"/>
        <v>N</v>
      </c>
      <c r="H23" s="22"/>
    </row>
    <row r="24" spans="3:8" ht="15.75" customHeight="1">
      <c r="C24" s="20">
        <v>13</v>
      </c>
      <c r="D24" s="125" t="s">
        <v>29</v>
      </c>
      <c r="E24" s="117" t="s">
        <v>27</v>
      </c>
      <c r="F24" s="134">
        <v>10</v>
      </c>
      <c r="G24" s="21" t="str">
        <f t="shared" si="0"/>
        <v>N</v>
      </c>
      <c r="H24" s="22"/>
    </row>
    <row r="25" spans="3:8" ht="15.75" customHeight="1">
      <c r="C25" s="20">
        <v>14</v>
      </c>
      <c r="D25" s="126" t="s">
        <v>30</v>
      </c>
      <c r="E25" s="118" t="s">
        <v>186</v>
      </c>
      <c r="F25" s="136">
        <v>23</v>
      </c>
      <c r="G25" s="21" t="str">
        <f t="shared" si="0"/>
        <v>Y</v>
      </c>
      <c r="H25" s="22"/>
    </row>
    <row r="26" spans="3:8" ht="15.75" customHeight="1">
      <c r="C26" s="20">
        <v>15</v>
      </c>
      <c r="D26" s="126" t="s">
        <v>31</v>
      </c>
      <c r="E26" s="118" t="s">
        <v>187</v>
      </c>
      <c r="F26" s="136">
        <v>20</v>
      </c>
      <c r="G26" s="21" t="str">
        <f t="shared" si="0"/>
        <v>Y</v>
      </c>
      <c r="H26" s="22"/>
    </row>
    <row r="27" spans="3:8" ht="15.75" customHeight="1">
      <c r="C27" s="20">
        <v>16</v>
      </c>
      <c r="D27" s="125" t="s">
        <v>32</v>
      </c>
      <c r="E27" s="117" t="s">
        <v>188</v>
      </c>
      <c r="F27" s="134">
        <v>20</v>
      </c>
      <c r="G27" s="21" t="str">
        <f t="shared" si="0"/>
        <v>Y</v>
      </c>
      <c r="H27" s="22"/>
    </row>
    <row r="28" spans="3:8" ht="15.75" customHeight="1">
      <c r="C28" s="20">
        <v>17</v>
      </c>
      <c r="D28" s="125" t="s">
        <v>33</v>
      </c>
      <c r="E28" s="117" t="s">
        <v>189</v>
      </c>
      <c r="F28" s="134">
        <v>23</v>
      </c>
      <c r="G28" s="21" t="str">
        <f t="shared" si="0"/>
        <v>Y</v>
      </c>
      <c r="H28" s="22"/>
    </row>
    <row r="29" spans="3:8" ht="15.75" customHeight="1">
      <c r="C29" s="20">
        <v>18</v>
      </c>
      <c r="D29" s="125" t="s">
        <v>34</v>
      </c>
      <c r="E29" s="117" t="s">
        <v>190</v>
      </c>
      <c r="F29" s="134">
        <v>20</v>
      </c>
      <c r="G29" s="21" t="str">
        <f t="shared" si="0"/>
        <v>Y</v>
      </c>
      <c r="H29" s="22"/>
    </row>
    <row r="30" spans="3:8" ht="15.75" customHeight="1">
      <c r="C30" s="20">
        <v>19</v>
      </c>
      <c r="D30" s="125" t="s">
        <v>35</v>
      </c>
      <c r="E30" s="117" t="s">
        <v>191</v>
      </c>
      <c r="F30" s="134">
        <v>20</v>
      </c>
      <c r="G30" s="21" t="str">
        <f t="shared" si="0"/>
        <v>Y</v>
      </c>
      <c r="H30" s="22"/>
    </row>
    <row r="31" spans="3:8" ht="15.75" customHeight="1">
      <c r="C31" s="20">
        <v>20</v>
      </c>
      <c r="D31" s="125" t="s">
        <v>36</v>
      </c>
      <c r="E31" s="117" t="s">
        <v>192</v>
      </c>
      <c r="F31" s="134">
        <v>19</v>
      </c>
      <c r="G31" s="21" t="str">
        <f t="shared" si="0"/>
        <v>Y</v>
      </c>
      <c r="H31" s="22"/>
    </row>
    <row r="32" spans="3:8" ht="15.75" customHeight="1">
      <c r="C32" s="20">
        <v>21</v>
      </c>
      <c r="D32" s="125" t="s">
        <v>37</v>
      </c>
      <c r="E32" s="117" t="s">
        <v>193</v>
      </c>
      <c r="F32" s="134">
        <v>22</v>
      </c>
      <c r="G32" s="21" t="str">
        <f t="shared" si="0"/>
        <v>Y</v>
      </c>
      <c r="H32" s="22"/>
    </row>
    <row r="33" spans="3:8" ht="15.75" customHeight="1">
      <c r="C33" s="20">
        <v>22</v>
      </c>
      <c r="D33" s="125" t="s">
        <v>38</v>
      </c>
      <c r="E33" s="117" t="s">
        <v>194</v>
      </c>
      <c r="F33" s="134">
        <v>18</v>
      </c>
      <c r="G33" s="21" t="str">
        <f t="shared" si="0"/>
        <v>Y</v>
      </c>
      <c r="H33" s="22"/>
    </row>
    <row r="34" spans="3:8" ht="15.75" customHeight="1">
      <c r="C34" s="20">
        <v>23</v>
      </c>
      <c r="D34" s="125" t="s">
        <v>39</v>
      </c>
      <c r="E34" s="117" t="s">
        <v>195</v>
      </c>
      <c r="F34" s="134">
        <v>15</v>
      </c>
      <c r="G34" s="21" t="str">
        <f t="shared" si="0"/>
        <v>N</v>
      </c>
      <c r="H34" s="22"/>
    </row>
    <row r="35" spans="3:8" ht="15.75" customHeight="1">
      <c r="C35" s="20">
        <v>24</v>
      </c>
      <c r="D35" s="125" t="s">
        <v>40</v>
      </c>
      <c r="E35" s="119" t="s">
        <v>196</v>
      </c>
      <c r="F35" s="134">
        <v>18</v>
      </c>
      <c r="G35" s="21" t="str">
        <f t="shared" si="0"/>
        <v>Y</v>
      </c>
      <c r="H35" s="22"/>
    </row>
    <row r="36" spans="3:8" ht="15.75" customHeight="1">
      <c r="C36" s="20">
        <v>25</v>
      </c>
      <c r="D36" s="125" t="s">
        <v>41</v>
      </c>
      <c r="E36" s="119" t="s">
        <v>197</v>
      </c>
      <c r="F36" s="135">
        <v>18</v>
      </c>
      <c r="G36" s="21" t="str">
        <f t="shared" si="0"/>
        <v>Y</v>
      </c>
      <c r="H36" s="22"/>
    </row>
    <row r="37" spans="3:8" ht="15.75" customHeight="1">
      <c r="C37" s="20">
        <v>26</v>
      </c>
      <c r="D37" s="125" t="s">
        <v>42</v>
      </c>
      <c r="E37" s="119" t="s">
        <v>198</v>
      </c>
      <c r="F37" s="135">
        <v>10</v>
      </c>
      <c r="G37" s="21" t="str">
        <f t="shared" si="0"/>
        <v>N</v>
      </c>
      <c r="H37" s="22"/>
    </row>
    <row r="38" spans="3:8" ht="15.75" customHeight="1">
      <c r="C38" s="20">
        <v>27</v>
      </c>
      <c r="D38" s="125" t="s">
        <v>43</v>
      </c>
      <c r="E38" s="119" t="s">
        <v>199</v>
      </c>
      <c r="F38" s="135">
        <v>20</v>
      </c>
      <c r="G38" s="21" t="str">
        <f t="shared" si="0"/>
        <v>Y</v>
      </c>
      <c r="H38" s="22"/>
    </row>
    <row r="39" spans="3:8" ht="15.75" customHeight="1">
      <c r="C39" s="20">
        <v>28</v>
      </c>
      <c r="D39" s="125" t="s">
        <v>44</v>
      </c>
      <c r="E39" s="119" t="s">
        <v>200</v>
      </c>
      <c r="F39" s="135">
        <v>20</v>
      </c>
      <c r="G39" s="21" t="str">
        <f t="shared" si="0"/>
        <v>Y</v>
      </c>
      <c r="H39" s="22"/>
    </row>
    <row r="40" spans="3:8" ht="15.75" customHeight="1">
      <c r="C40" s="20">
        <v>29</v>
      </c>
      <c r="D40" s="125" t="s">
        <v>45</v>
      </c>
      <c r="E40" s="117" t="s">
        <v>201</v>
      </c>
      <c r="F40" s="135">
        <v>15</v>
      </c>
      <c r="G40" s="21" t="str">
        <f t="shared" si="0"/>
        <v>N</v>
      </c>
      <c r="H40" s="22"/>
    </row>
    <row r="41" spans="3:8" ht="15.75" customHeight="1">
      <c r="C41" s="20">
        <v>30</v>
      </c>
      <c r="D41" s="131" t="s">
        <v>46</v>
      </c>
      <c r="E41" s="132" t="s">
        <v>202</v>
      </c>
      <c r="F41" s="138">
        <v>23</v>
      </c>
      <c r="G41" s="21" t="str">
        <f t="shared" si="0"/>
        <v>Y</v>
      </c>
      <c r="H41" s="22"/>
    </row>
    <row r="42" spans="3:8" ht="15.75" customHeight="1">
      <c r="C42" s="20">
        <v>31</v>
      </c>
      <c r="D42" s="125" t="s">
        <v>47</v>
      </c>
      <c r="E42" s="120" t="s">
        <v>203</v>
      </c>
      <c r="F42" s="135">
        <v>21</v>
      </c>
      <c r="G42" s="21" t="str">
        <f t="shared" si="0"/>
        <v>Y</v>
      </c>
      <c r="H42" s="22"/>
    </row>
    <row r="43" spans="3:8" ht="15.75" customHeight="1">
      <c r="C43" s="20">
        <v>32</v>
      </c>
      <c r="D43" s="125" t="s">
        <v>48</v>
      </c>
      <c r="E43" s="120" t="s">
        <v>204</v>
      </c>
      <c r="F43" s="135">
        <v>22</v>
      </c>
      <c r="G43" s="21" t="str">
        <f t="shared" si="0"/>
        <v>Y</v>
      </c>
      <c r="H43" s="22"/>
    </row>
    <row r="44" spans="3:8" ht="15.75" customHeight="1">
      <c r="C44" s="20">
        <v>33</v>
      </c>
      <c r="D44" s="131" t="s">
        <v>49</v>
      </c>
      <c r="E44" s="133" t="s">
        <v>205</v>
      </c>
      <c r="F44" s="138">
        <v>24</v>
      </c>
      <c r="G44" s="21" t="str">
        <f t="shared" si="0"/>
        <v>Y</v>
      </c>
      <c r="H44" s="22"/>
    </row>
    <row r="45" spans="3:8" ht="15.75" customHeight="1">
      <c r="C45" s="20">
        <v>34</v>
      </c>
      <c r="D45" s="125" t="s">
        <v>50</v>
      </c>
      <c r="E45" s="117" t="s">
        <v>206</v>
      </c>
      <c r="F45" s="135">
        <v>20</v>
      </c>
      <c r="G45" s="21" t="str">
        <f t="shared" si="0"/>
        <v>Y</v>
      </c>
      <c r="H45" s="22"/>
    </row>
    <row r="46" spans="3:8" ht="15.75" customHeight="1" thickBot="1">
      <c r="C46" s="20">
        <v>35</v>
      </c>
      <c r="D46" s="125" t="s">
        <v>51</v>
      </c>
      <c r="E46" s="117" t="s">
        <v>207</v>
      </c>
      <c r="F46" s="135">
        <v>21</v>
      </c>
      <c r="G46" s="21" t="str">
        <f t="shared" si="0"/>
        <v>Y</v>
      </c>
      <c r="H46" s="22"/>
    </row>
    <row r="47" spans="3:8" ht="15.75" customHeight="1" thickBot="1">
      <c r="C47" s="20">
        <v>36</v>
      </c>
      <c r="D47" s="127" t="s">
        <v>52</v>
      </c>
      <c r="E47" s="121" t="s">
        <v>208</v>
      </c>
      <c r="F47" s="135">
        <v>15</v>
      </c>
      <c r="G47" s="21" t="str">
        <f t="shared" si="0"/>
        <v>N</v>
      </c>
      <c r="H47" s="22"/>
    </row>
    <row r="48" spans="3:8" ht="15.75" customHeight="1" thickBot="1">
      <c r="C48" s="20">
        <v>37</v>
      </c>
      <c r="D48" s="128" t="s">
        <v>53</v>
      </c>
      <c r="E48" s="122" t="s">
        <v>209</v>
      </c>
      <c r="F48" s="137"/>
      <c r="G48" s="21" t="str">
        <f t="shared" si="0"/>
        <v>N</v>
      </c>
      <c r="H48" s="22"/>
    </row>
    <row r="49" spans="3:8" ht="15.75" customHeight="1" thickBot="1">
      <c r="C49" s="20">
        <v>38</v>
      </c>
      <c r="D49" s="129" t="s">
        <v>54</v>
      </c>
      <c r="E49" s="123" t="s">
        <v>210</v>
      </c>
      <c r="F49" s="135">
        <v>18</v>
      </c>
      <c r="G49" s="21" t="str">
        <f t="shared" si="0"/>
        <v>Y</v>
      </c>
      <c r="H49" s="22"/>
    </row>
    <row r="50" spans="3:8" ht="15.75" customHeight="1" thickBot="1">
      <c r="C50" s="20">
        <v>39</v>
      </c>
      <c r="D50" s="129" t="s">
        <v>55</v>
      </c>
      <c r="E50" s="123" t="s">
        <v>211</v>
      </c>
      <c r="F50" s="135">
        <v>14</v>
      </c>
      <c r="G50" s="21" t="str">
        <f t="shared" si="0"/>
        <v>N</v>
      </c>
      <c r="H50" s="22"/>
    </row>
    <row r="51" spans="3:8" ht="15.75" customHeight="1" thickBot="1">
      <c r="C51" s="20">
        <v>40</v>
      </c>
      <c r="D51" s="129" t="s">
        <v>56</v>
      </c>
      <c r="E51" s="123" t="s">
        <v>212</v>
      </c>
      <c r="F51" s="135">
        <v>15</v>
      </c>
      <c r="G51" s="21" t="str">
        <f t="shared" si="0"/>
        <v>N</v>
      </c>
      <c r="H51" s="22"/>
    </row>
    <row r="52" spans="3:8" ht="15.75" customHeight="1" thickBot="1">
      <c r="C52" s="20">
        <v>41</v>
      </c>
      <c r="D52" s="129" t="s">
        <v>57</v>
      </c>
      <c r="E52" s="123" t="s">
        <v>213</v>
      </c>
      <c r="F52" s="135">
        <v>19</v>
      </c>
      <c r="G52" s="21" t="str">
        <f t="shared" si="0"/>
        <v>Y</v>
      </c>
      <c r="H52" s="22"/>
    </row>
    <row r="53" spans="3:8" ht="15.75" customHeight="1" thickBot="1">
      <c r="C53" s="20">
        <v>42</v>
      </c>
      <c r="D53" s="129" t="s">
        <v>58</v>
      </c>
      <c r="E53" s="123" t="s">
        <v>214</v>
      </c>
      <c r="F53" s="135">
        <v>21</v>
      </c>
      <c r="G53" s="21" t="str">
        <f t="shared" si="0"/>
        <v>Y</v>
      </c>
      <c r="H53" s="22"/>
    </row>
    <row r="54" spans="3:8" ht="15.75" customHeight="1" thickBot="1">
      <c r="C54" s="20">
        <v>43</v>
      </c>
      <c r="D54" s="129" t="s">
        <v>59</v>
      </c>
      <c r="E54" s="124" t="s">
        <v>215</v>
      </c>
      <c r="F54" s="135">
        <v>21</v>
      </c>
      <c r="G54" s="21" t="str">
        <f t="shared" si="0"/>
        <v>Y</v>
      </c>
      <c r="H54" s="22"/>
    </row>
    <row r="55" spans="3:8" ht="15.75" customHeight="1" thickBot="1">
      <c r="C55" s="20">
        <v>44</v>
      </c>
      <c r="D55" s="129" t="s">
        <v>60</v>
      </c>
      <c r="E55" s="123" t="s">
        <v>216</v>
      </c>
      <c r="F55" s="135">
        <v>22</v>
      </c>
      <c r="G55" s="21" t="str">
        <f t="shared" si="0"/>
        <v>Y</v>
      </c>
      <c r="H55" s="22"/>
    </row>
    <row r="56" spans="3:8" ht="15.75" customHeight="1" thickBot="1">
      <c r="C56" s="20">
        <v>45</v>
      </c>
      <c r="D56" s="129" t="s">
        <v>61</v>
      </c>
      <c r="E56" s="123" t="s">
        <v>217</v>
      </c>
      <c r="F56" s="135">
        <v>10</v>
      </c>
      <c r="G56" s="21" t="str">
        <f t="shared" si="0"/>
        <v>N</v>
      </c>
      <c r="H56" s="22"/>
    </row>
    <row r="57" spans="3:8" ht="15.75" customHeight="1" thickBot="1">
      <c r="C57" s="20">
        <v>46</v>
      </c>
      <c r="D57" s="129" t="s">
        <v>62</v>
      </c>
      <c r="E57" s="123" t="s">
        <v>218</v>
      </c>
      <c r="F57" s="135">
        <v>18</v>
      </c>
      <c r="G57" s="21" t="str">
        <f t="shared" si="0"/>
        <v>Y</v>
      </c>
      <c r="H57" s="22"/>
    </row>
    <row r="58" spans="3:8" ht="15.75" customHeight="1" thickBot="1">
      <c r="C58" s="20">
        <v>47</v>
      </c>
      <c r="D58" s="129" t="s">
        <v>63</v>
      </c>
      <c r="E58" s="123" t="s">
        <v>219</v>
      </c>
      <c r="F58" s="135">
        <v>17</v>
      </c>
      <c r="G58" s="21" t="str">
        <f t="shared" si="0"/>
        <v>N</v>
      </c>
      <c r="H58" s="22"/>
    </row>
    <row r="59" spans="3:8" ht="15.75" customHeight="1" thickBot="1">
      <c r="C59" s="20">
        <v>48</v>
      </c>
      <c r="D59" s="129" t="s">
        <v>64</v>
      </c>
      <c r="E59" s="123" t="s">
        <v>220</v>
      </c>
      <c r="F59" s="135">
        <v>18</v>
      </c>
      <c r="G59" s="21" t="str">
        <f t="shared" si="0"/>
        <v>Y</v>
      </c>
      <c r="H59" s="22"/>
    </row>
    <row r="60" spans="3:8" ht="15.75" customHeight="1" thickBot="1">
      <c r="C60" s="20">
        <v>49</v>
      </c>
      <c r="D60" s="129" t="s">
        <v>65</v>
      </c>
      <c r="E60" s="123" t="s">
        <v>221</v>
      </c>
      <c r="F60" s="135">
        <v>22</v>
      </c>
      <c r="G60" s="21" t="str">
        <f t="shared" si="0"/>
        <v>Y</v>
      </c>
      <c r="H60" s="22"/>
    </row>
    <row r="61" spans="3:8" ht="15.75" customHeight="1" thickBot="1">
      <c r="C61" s="20">
        <v>50</v>
      </c>
      <c r="D61" s="129" t="s">
        <v>66</v>
      </c>
      <c r="E61" s="123" t="s">
        <v>222</v>
      </c>
      <c r="F61" s="135">
        <v>15</v>
      </c>
      <c r="G61" s="21" t="str">
        <f t="shared" si="0"/>
        <v>N</v>
      </c>
      <c r="H61" s="22"/>
    </row>
    <row r="62" spans="3:8" ht="15.75" customHeight="1" thickBot="1">
      <c r="C62" s="20">
        <v>51</v>
      </c>
      <c r="D62" s="129" t="s">
        <v>67</v>
      </c>
      <c r="E62" s="124" t="s">
        <v>223</v>
      </c>
      <c r="F62" s="135">
        <v>16</v>
      </c>
      <c r="G62" s="21" t="str">
        <f t="shared" si="0"/>
        <v>N</v>
      </c>
      <c r="H62" s="22"/>
    </row>
    <row r="63" spans="3:8" ht="15.75" customHeight="1" thickBot="1">
      <c r="C63" s="20">
        <v>52</v>
      </c>
      <c r="D63" s="129" t="s">
        <v>68</v>
      </c>
      <c r="E63" s="123" t="s">
        <v>224</v>
      </c>
      <c r="F63" s="135">
        <v>21</v>
      </c>
      <c r="G63" s="21" t="str">
        <f t="shared" si="0"/>
        <v>Y</v>
      </c>
      <c r="H63" s="22"/>
    </row>
    <row r="64" spans="3:8" ht="15.75" customHeight="1" thickBot="1">
      <c r="C64" s="20">
        <v>53</v>
      </c>
      <c r="D64" s="129" t="s">
        <v>69</v>
      </c>
      <c r="E64" s="123" t="s">
        <v>225</v>
      </c>
      <c r="F64" s="135">
        <v>21</v>
      </c>
      <c r="G64" s="21" t="str">
        <f t="shared" si="0"/>
        <v>Y</v>
      </c>
      <c r="H64" s="22"/>
    </row>
    <row r="65" spans="3:8" ht="15.75" customHeight="1" thickBot="1">
      <c r="C65" s="20">
        <v>54</v>
      </c>
      <c r="D65" s="129" t="s">
        <v>70</v>
      </c>
      <c r="E65" s="123" t="s">
        <v>226</v>
      </c>
      <c r="F65" s="135">
        <v>17</v>
      </c>
      <c r="G65" s="21" t="str">
        <f t="shared" si="0"/>
        <v>N</v>
      </c>
      <c r="H65" s="22"/>
    </row>
    <row r="66" spans="3:8" ht="15.75" customHeight="1" thickBot="1">
      <c r="C66" s="20">
        <v>55</v>
      </c>
      <c r="D66" s="129" t="s">
        <v>71</v>
      </c>
      <c r="E66" s="123" t="s">
        <v>227</v>
      </c>
      <c r="F66" s="135">
        <v>17</v>
      </c>
      <c r="G66" s="21" t="str">
        <f t="shared" si="0"/>
        <v>N</v>
      </c>
      <c r="H66" s="22"/>
    </row>
    <row r="67" spans="3:8" ht="15.75" customHeight="1" thickBot="1">
      <c r="C67" s="20">
        <v>56</v>
      </c>
      <c r="D67" s="129" t="s">
        <v>72</v>
      </c>
      <c r="E67" s="123" t="s">
        <v>228</v>
      </c>
      <c r="F67" s="135">
        <v>17</v>
      </c>
      <c r="G67" s="21" t="str">
        <f t="shared" si="0"/>
        <v>N</v>
      </c>
      <c r="H67" s="22"/>
    </row>
    <row r="68" spans="3:8" ht="15.75" customHeight="1" thickBot="1">
      <c r="C68" s="20">
        <v>57</v>
      </c>
      <c r="D68" s="129" t="s">
        <v>73</v>
      </c>
      <c r="E68" s="123" t="s">
        <v>229</v>
      </c>
      <c r="F68" s="135">
        <v>18</v>
      </c>
      <c r="G68" s="21" t="str">
        <f t="shared" si="0"/>
        <v>Y</v>
      </c>
      <c r="H68" s="22"/>
    </row>
    <row r="69" spans="3:8" ht="15.75" customHeight="1" thickBot="1">
      <c r="C69" s="20">
        <v>58</v>
      </c>
      <c r="D69" s="129" t="s">
        <v>74</v>
      </c>
      <c r="E69" s="123" t="s">
        <v>230</v>
      </c>
      <c r="F69" s="135">
        <v>16</v>
      </c>
      <c r="G69" s="21" t="str">
        <f t="shared" si="0"/>
        <v>N</v>
      </c>
      <c r="H69" s="22"/>
    </row>
    <row r="70" spans="3:8" ht="15.75" customHeight="1" thickBot="1">
      <c r="C70" s="20">
        <v>59</v>
      </c>
      <c r="D70" s="129" t="s">
        <v>75</v>
      </c>
      <c r="E70" s="123" t="s">
        <v>231</v>
      </c>
      <c r="F70" s="135">
        <v>18</v>
      </c>
      <c r="G70" s="21" t="str">
        <f t="shared" si="0"/>
        <v>Y</v>
      </c>
      <c r="H70" s="22"/>
    </row>
    <row r="71" spans="3:8" ht="15.75" customHeight="1" thickBot="1">
      <c r="C71" s="20">
        <v>60</v>
      </c>
      <c r="D71" s="129" t="s">
        <v>76</v>
      </c>
      <c r="E71" s="123" t="s">
        <v>232</v>
      </c>
      <c r="F71" s="135">
        <v>21</v>
      </c>
      <c r="G71" s="21" t="str">
        <f t="shared" si="0"/>
        <v>Y</v>
      </c>
      <c r="H71" s="22"/>
    </row>
    <row r="72" spans="3:8" ht="15.75" customHeight="1" thickBot="1">
      <c r="C72" s="20">
        <v>61</v>
      </c>
      <c r="D72" s="130" t="s">
        <v>77</v>
      </c>
      <c r="E72" s="123" t="s">
        <v>233</v>
      </c>
      <c r="F72" s="135">
        <v>16</v>
      </c>
      <c r="G72" s="21" t="str">
        <f t="shared" si="0"/>
        <v>N</v>
      </c>
      <c r="H72" s="22"/>
    </row>
    <row r="73" spans="3:8" ht="15.75" customHeight="1" thickBot="1">
      <c r="C73" s="20">
        <v>62</v>
      </c>
      <c r="D73" s="129" t="s">
        <v>78</v>
      </c>
      <c r="E73" s="123" t="s">
        <v>234</v>
      </c>
      <c r="F73" s="135">
        <v>17</v>
      </c>
      <c r="G73" s="21" t="str">
        <f t="shared" si="0"/>
        <v>N</v>
      </c>
      <c r="H73" s="22"/>
    </row>
    <row r="74" spans="3:8" ht="15.75" customHeight="1" thickBot="1">
      <c r="C74" s="20">
        <v>63</v>
      </c>
      <c r="D74" s="129" t="s">
        <v>79</v>
      </c>
      <c r="E74" s="123" t="s">
        <v>235</v>
      </c>
      <c r="F74" s="135">
        <v>23</v>
      </c>
      <c r="G74" s="21" t="str">
        <f t="shared" si="0"/>
        <v>Y</v>
      </c>
      <c r="H74" s="22"/>
    </row>
    <row r="75" spans="3:8" ht="15.75" customHeight="1" thickBot="1">
      <c r="C75" s="20">
        <v>64</v>
      </c>
      <c r="D75" s="129" t="s">
        <v>80</v>
      </c>
      <c r="E75" s="123" t="s">
        <v>236</v>
      </c>
      <c r="F75" s="135">
        <v>17</v>
      </c>
      <c r="G75" s="21" t="str">
        <f t="shared" si="0"/>
        <v>N</v>
      </c>
      <c r="H75" s="22"/>
    </row>
    <row r="76" spans="3:8" ht="15.75" customHeight="1" thickBot="1">
      <c r="C76" s="20">
        <v>65</v>
      </c>
      <c r="D76" s="129" t="s">
        <v>81</v>
      </c>
      <c r="E76" s="123" t="s">
        <v>237</v>
      </c>
      <c r="F76" s="135">
        <v>22</v>
      </c>
      <c r="G76" s="21" t="str">
        <f t="shared" si="0"/>
        <v>Y</v>
      </c>
      <c r="H76" s="6"/>
    </row>
    <row r="77" spans="3:8" ht="15.75" customHeight="1" thickBot="1">
      <c r="C77" s="20">
        <v>66</v>
      </c>
      <c r="D77" s="129" t="s">
        <v>82</v>
      </c>
      <c r="E77" s="123" t="s">
        <v>238</v>
      </c>
      <c r="F77" s="135">
        <v>18</v>
      </c>
      <c r="G77" s="21" t="str">
        <f t="shared" ref="G77:G92" si="1">IF(F77&gt;=18,"Y","N")</f>
        <v>Y</v>
      </c>
      <c r="H77" s="22"/>
    </row>
    <row r="78" spans="3:8" ht="15.75" customHeight="1" thickBot="1">
      <c r="C78" s="20">
        <v>67</v>
      </c>
      <c r="D78" s="129" t="s">
        <v>83</v>
      </c>
      <c r="E78" s="123" t="s">
        <v>239</v>
      </c>
      <c r="F78" s="135">
        <v>14</v>
      </c>
      <c r="G78" s="21" t="str">
        <f t="shared" si="1"/>
        <v>N</v>
      </c>
      <c r="H78" s="22"/>
    </row>
    <row r="79" spans="3:8" ht="15.75" customHeight="1" thickBot="1">
      <c r="C79" s="20">
        <v>68</v>
      </c>
      <c r="D79" s="129" t="s">
        <v>84</v>
      </c>
      <c r="E79" s="123" t="s">
        <v>240</v>
      </c>
      <c r="F79" s="135">
        <v>16</v>
      </c>
      <c r="G79" s="21" t="str">
        <f t="shared" si="1"/>
        <v>N</v>
      </c>
      <c r="H79" s="22"/>
    </row>
    <row r="80" spans="3:8" ht="15.75" customHeight="1" thickBot="1">
      <c r="C80" s="20">
        <v>69</v>
      </c>
      <c r="D80" s="129" t="s">
        <v>85</v>
      </c>
      <c r="E80" s="123" t="s">
        <v>241</v>
      </c>
      <c r="F80" s="135">
        <v>15</v>
      </c>
      <c r="G80" s="21" t="str">
        <f t="shared" si="1"/>
        <v>N</v>
      </c>
      <c r="H80" s="22"/>
    </row>
    <row r="81" spans="3:8" ht="15.75" customHeight="1" thickBot="1">
      <c r="C81" s="20">
        <v>70</v>
      </c>
      <c r="D81" s="129" t="s">
        <v>86</v>
      </c>
      <c r="E81" s="123" t="s">
        <v>242</v>
      </c>
      <c r="F81" s="135">
        <v>18</v>
      </c>
      <c r="G81" s="21" t="str">
        <f t="shared" si="1"/>
        <v>Y</v>
      </c>
      <c r="H81" s="22"/>
    </row>
    <row r="82" spans="3:8" ht="15.75" customHeight="1" thickBot="1">
      <c r="C82" s="20">
        <v>71</v>
      </c>
      <c r="D82" s="129" t="s">
        <v>87</v>
      </c>
      <c r="E82" s="123" t="s">
        <v>243</v>
      </c>
      <c r="F82" s="135">
        <v>16</v>
      </c>
      <c r="G82" s="21" t="str">
        <f t="shared" si="1"/>
        <v>N</v>
      </c>
      <c r="H82" s="22"/>
    </row>
    <row r="83" spans="3:8" ht="15.75" customHeight="1" thickBot="1">
      <c r="C83" s="20">
        <v>72</v>
      </c>
      <c r="D83" s="129" t="s">
        <v>88</v>
      </c>
      <c r="E83" s="123" t="s">
        <v>244</v>
      </c>
      <c r="F83" s="135">
        <v>14</v>
      </c>
      <c r="G83" s="21" t="str">
        <f t="shared" si="1"/>
        <v>N</v>
      </c>
      <c r="H83" s="22"/>
    </row>
    <row r="84" spans="3:8" ht="15.75" customHeight="1" thickBot="1">
      <c r="C84" s="20">
        <v>73</v>
      </c>
      <c r="D84" s="129" t="s">
        <v>245</v>
      </c>
      <c r="E84" s="123" t="s">
        <v>246</v>
      </c>
      <c r="F84" s="135">
        <v>22</v>
      </c>
      <c r="G84" s="21" t="str">
        <f t="shared" si="1"/>
        <v>Y</v>
      </c>
      <c r="H84" s="22"/>
    </row>
    <row r="85" spans="3:8" ht="15.75" customHeight="1" thickBot="1">
      <c r="C85" s="20">
        <v>74</v>
      </c>
      <c r="D85" s="129" t="s">
        <v>247</v>
      </c>
      <c r="E85" s="123" t="s">
        <v>248</v>
      </c>
      <c r="F85" s="135">
        <v>18</v>
      </c>
      <c r="G85" s="21" t="str">
        <f t="shared" si="1"/>
        <v>Y</v>
      </c>
      <c r="H85" s="22"/>
    </row>
    <row r="86" spans="3:8" ht="15.75" customHeight="1" thickBot="1">
      <c r="C86" s="20">
        <v>75</v>
      </c>
      <c r="D86" s="129" t="s">
        <v>249</v>
      </c>
      <c r="E86" s="123" t="s">
        <v>250</v>
      </c>
      <c r="F86" s="135">
        <v>19</v>
      </c>
      <c r="G86" s="21" t="str">
        <f t="shared" si="1"/>
        <v>Y</v>
      </c>
      <c r="H86" s="22"/>
    </row>
    <row r="87" spans="3:8" ht="15.75" customHeight="1" thickBot="1">
      <c r="C87" s="20">
        <v>76</v>
      </c>
      <c r="D87" s="129" t="s">
        <v>251</v>
      </c>
      <c r="E87" s="123" t="s">
        <v>252</v>
      </c>
      <c r="F87" s="135">
        <v>19</v>
      </c>
      <c r="G87" s="21" t="str">
        <f t="shared" si="1"/>
        <v>Y</v>
      </c>
      <c r="H87" s="22"/>
    </row>
    <row r="88" spans="3:8" ht="15.75" customHeight="1" thickBot="1">
      <c r="C88" s="20">
        <v>77</v>
      </c>
      <c r="D88" s="129" t="s">
        <v>253</v>
      </c>
      <c r="E88" s="123" t="s">
        <v>254</v>
      </c>
      <c r="F88" s="135">
        <v>18</v>
      </c>
      <c r="G88" s="21" t="str">
        <f t="shared" si="1"/>
        <v>Y</v>
      </c>
      <c r="H88" s="22"/>
    </row>
    <row r="89" spans="3:8" ht="15.75" customHeight="1" thickBot="1">
      <c r="C89" s="20">
        <v>78</v>
      </c>
      <c r="D89" s="129" t="s">
        <v>255</v>
      </c>
      <c r="E89" s="123" t="s">
        <v>256</v>
      </c>
      <c r="F89" s="135">
        <v>18</v>
      </c>
      <c r="G89" s="21" t="str">
        <f t="shared" si="1"/>
        <v>Y</v>
      </c>
      <c r="H89" s="22"/>
    </row>
    <row r="90" spans="3:8" ht="15.75" customHeight="1" thickBot="1">
      <c r="C90" s="20">
        <v>79</v>
      </c>
      <c r="D90" s="129" t="s">
        <v>257</v>
      </c>
      <c r="E90" s="123" t="s">
        <v>258</v>
      </c>
      <c r="F90" s="135">
        <v>18</v>
      </c>
      <c r="G90" s="21" t="str">
        <f t="shared" si="1"/>
        <v>Y</v>
      </c>
      <c r="H90" s="22"/>
    </row>
    <row r="91" spans="3:8" ht="15.75" customHeight="1" thickBot="1">
      <c r="C91" s="20">
        <v>80</v>
      </c>
      <c r="D91" s="129" t="s">
        <v>259</v>
      </c>
      <c r="E91" s="123" t="s">
        <v>260</v>
      </c>
      <c r="F91" s="135">
        <v>17</v>
      </c>
      <c r="G91" s="21" t="str">
        <f t="shared" si="1"/>
        <v>N</v>
      </c>
      <c r="H91" s="22"/>
    </row>
    <row r="92" spans="3:8" ht="15.75" customHeight="1" thickBot="1">
      <c r="C92" s="20">
        <v>81</v>
      </c>
      <c r="D92" s="129" t="s">
        <v>261</v>
      </c>
      <c r="E92" s="123" t="s">
        <v>262</v>
      </c>
      <c r="F92" s="135">
        <v>21</v>
      </c>
      <c r="G92" s="21" t="str">
        <f t="shared" si="1"/>
        <v>Y</v>
      </c>
      <c r="H92" s="22"/>
    </row>
    <row r="93" spans="3:8" ht="18.75" customHeight="1">
      <c r="C93" s="3"/>
      <c r="D93" s="166" t="s">
        <v>89</v>
      </c>
      <c r="E93" s="167"/>
      <c r="F93" s="21">
        <f>COUNT(F12:F92)</f>
        <v>80</v>
      </c>
      <c r="G93" s="3"/>
      <c r="H93" s="18"/>
    </row>
    <row r="94" spans="3:8" ht="18.75" customHeight="1">
      <c r="C94" s="3"/>
      <c r="D94" s="166" t="s">
        <v>90</v>
      </c>
      <c r="E94" s="167"/>
      <c r="F94" s="24">
        <v>18</v>
      </c>
      <c r="G94" s="3"/>
    </row>
    <row r="95" spans="3:8" ht="18.75" customHeight="1">
      <c r="C95" s="3"/>
      <c r="D95" s="166" t="s">
        <v>91</v>
      </c>
      <c r="E95" s="167"/>
      <c r="F95" s="21">
        <f>COUNTIF(F12:F92,"&gt;=18")</f>
        <v>50</v>
      </c>
      <c r="G95" s="3"/>
    </row>
    <row r="96" spans="3:8" ht="18.75" customHeight="1">
      <c r="C96" s="3"/>
      <c r="D96" s="166" t="s">
        <v>92</v>
      </c>
      <c r="E96" s="167"/>
      <c r="F96" s="25">
        <f>F95/F93</f>
        <v>0.625</v>
      </c>
      <c r="G96" s="3"/>
    </row>
    <row r="97" spans="3:7" ht="18.75" customHeight="1">
      <c r="C97" s="3"/>
      <c r="D97" s="168" t="s">
        <v>93</v>
      </c>
      <c r="E97" s="167"/>
      <c r="F97" s="21">
        <v>1</v>
      </c>
      <c r="G97" s="3"/>
    </row>
    <row r="98" spans="3:7" ht="15.75" customHeight="1">
      <c r="D98" s="1"/>
    </row>
    <row r="99" spans="3:7" ht="15.75" customHeight="1">
      <c r="D99" s="1"/>
    </row>
    <row r="100" spans="3:7" ht="15.75" customHeight="1">
      <c r="D100" s="1"/>
    </row>
    <row r="101" spans="3:7" ht="15.75" customHeight="1">
      <c r="D101" s="1"/>
    </row>
    <row r="102" spans="3:7" ht="15.75" customHeight="1">
      <c r="D102" s="1"/>
    </row>
    <row r="103" spans="3:7" ht="15.75" customHeight="1">
      <c r="D103" s="1"/>
    </row>
    <row r="104" spans="3:7" ht="15.75" customHeight="1">
      <c r="D104" s="1"/>
    </row>
    <row r="105" spans="3:7" ht="15.75" customHeight="1">
      <c r="D105" s="1"/>
    </row>
    <row r="106" spans="3:7" ht="15.75" customHeight="1">
      <c r="D106" s="1"/>
    </row>
    <row r="107" spans="3:7" ht="15.75" customHeight="1">
      <c r="D107" s="1"/>
    </row>
    <row r="108" spans="3:7" ht="15.75" customHeight="1">
      <c r="D108" s="1"/>
    </row>
    <row r="109" spans="3:7" ht="15.75" customHeight="1">
      <c r="D109" s="1"/>
    </row>
    <row r="110" spans="3:7" ht="15.75" customHeight="1">
      <c r="D110" s="1"/>
    </row>
    <row r="111" spans="3:7" ht="15.75" customHeight="1">
      <c r="D111" s="1"/>
    </row>
    <row r="112" spans="3:7" ht="15.75" customHeight="1">
      <c r="D112" s="1"/>
    </row>
    <row r="113" spans="4:4" ht="15.75" customHeight="1">
      <c r="D113" s="1"/>
    </row>
    <row r="114" spans="4:4" ht="15.75" customHeight="1">
      <c r="D114" s="1"/>
    </row>
    <row r="115" spans="4:4" ht="15.75" customHeight="1">
      <c r="D115" s="1"/>
    </row>
    <row r="116" spans="4:4" ht="15.75" customHeight="1">
      <c r="D116" s="1"/>
    </row>
    <row r="117" spans="4:4" ht="15.75" customHeight="1">
      <c r="D117" s="1"/>
    </row>
    <row r="118" spans="4:4" ht="15.75" customHeight="1">
      <c r="D118" s="1"/>
    </row>
    <row r="119" spans="4:4" ht="15.75" customHeight="1">
      <c r="D119" s="1"/>
    </row>
    <row r="120" spans="4:4" ht="15.75" customHeight="1">
      <c r="D120" s="1"/>
    </row>
    <row r="121" spans="4:4" ht="15.75" customHeight="1">
      <c r="D121" s="1"/>
    </row>
    <row r="122" spans="4:4" ht="15.75" customHeight="1">
      <c r="D122" s="1"/>
    </row>
    <row r="123" spans="4:4" ht="15.75" customHeight="1">
      <c r="D123" s="1"/>
    </row>
    <row r="124" spans="4:4" ht="15.75" customHeight="1">
      <c r="D124" s="1"/>
    </row>
    <row r="125" spans="4:4" ht="15.75" customHeight="1">
      <c r="D125" s="1"/>
    </row>
    <row r="126" spans="4:4" ht="15.75" customHeight="1">
      <c r="D126" s="1"/>
    </row>
    <row r="127" spans="4:4" ht="15.75" customHeight="1">
      <c r="D127" s="1"/>
    </row>
    <row r="128" spans="4:4" ht="15.75" customHeight="1">
      <c r="D128" s="1"/>
    </row>
    <row r="129" spans="4:4" ht="15.75" customHeight="1">
      <c r="D129" s="1"/>
    </row>
    <row r="130" spans="4:4" ht="15.75" customHeight="1">
      <c r="D130" s="1"/>
    </row>
    <row r="131" spans="4:4" ht="15.75" customHeight="1">
      <c r="D131" s="1"/>
    </row>
    <row r="132" spans="4:4" ht="15.75" customHeight="1">
      <c r="D132" s="1"/>
    </row>
    <row r="133" spans="4:4" ht="15.75" customHeight="1">
      <c r="D133" s="1"/>
    </row>
    <row r="134" spans="4:4" ht="15.75" customHeight="1">
      <c r="D134" s="1"/>
    </row>
    <row r="135" spans="4:4" ht="15.75" customHeight="1">
      <c r="D135" s="1"/>
    </row>
    <row r="136" spans="4:4" ht="15.75" customHeight="1">
      <c r="D136" s="1"/>
    </row>
    <row r="137" spans="4:4" ht="15.75" customHeight="1">
      <c r="D137" s="1"/>
    </row>
    <row r="138" spans="4:4" ht="15.75" customHeight="1">
      <c r="D138" s="1"/>
    </row>
    <row r="139" spans="4:4" ht="15.75" customHeight="1">
      <c r="D139" s="1"/>
    </row>
    <row r="140" spans="4:4" ht="15.75" customHeight="1">
      <c r="D140" s="1"/>
    </row>
    <row r="141" spans="4:4" ht="15.75" customHeight="1">
      <c r="D141" s="1"/>
    </row>
    <row r="142" spans="4:4" ht="15.75" customHeight="1">
      <c r="D142" s="1"/>
    </row>
    <row r="143" spans="4:4" ht="15.75" customHeight="1">
      <c r="D143" s="1"/>
    </row>
    <row r="144" spans="4:4" ht="15.75" customHeight="1">
      <c r="D144" s="1"/>
    </row>
    <row r="145" spans="4:4" ht="15.75" customHeight="1">
      <c r="D145" s="1"/>
    </row>
    <row r="146" spans="4:4" ht="15.75" customHeight="1">
      <c r="D146" s="1"/>
    </row>
    <row r="147" spans="4:4" ht="15.75" customHeight="1">
      <c r="D147" s="1"/>
    </row>
    <row r="148" spans="4:4" ht="15.75" customHeight="1">
      <c r="D148" s="1"/>
    </row>
    <row r="149" spans="4:4" ht="15.75" customHeight="1">
      <c r="D149" s="1"/>
    </row>
    <row r="150" spans="4:4" ht="15.75" customHeight="1">
      <c r="D150" s="1"/>
    </row>
    <row r="151" spans="4:4" ht="15.75" customHeight="1">
      <c r="D151" s="1"/>
    </row>
    <row r="152" spans="4:4" ht="15.75" customHeight="1">
      <c r="D152" s="1"/>
    </row>
    <row r="153" spans="4:4" ht="15.75" customHeight="1">
      <c r="D153" s="1"/>
    </row>
    <row r="154" spans="4:4" ht="15.75" customHeight="1">
      <c r="D154" s="1"/>
    </row>
    <row r="155" spans="4:4" ht="15.75" customHeight="1">
      <c r="D155" s="1"/>
    </row>
    <row r="156" spans="4:4" ht="15.75" customHeight="1">
      <c r="D156" s="1"/>
    </row>
    <row r="157" spans="4:4" ht="15.75" customHeight="1">
      <c r="D157" s="1"/>
    </row>
    <row r="158" spans="4:4" ht="15.75" customHeight="1">
      <c r="D158" s="1"/>
    </row>
    <row r="159" spans="4:4" ht="15.75" customHeight="1">
      <c r="D159" s="1"/>
    </row>
    <row r="160" spans="4:4" ht="15.75" customHeight="1">
      <c r="D160" s="1"/>
    </row>
    <row r="161" spans="4:4" ht="15.75" customHeight="1">
      <c r="D161" s="1"/>
    </row>
    <row r="162" spans="4:4" ht="15.75" customHeight="1">
      <c r="D162" s="1"/>
    </row>
    <row r="163" spans="4:4" ht="15.75" customHeight="1">
      <c r="D163" s="1"/>
    </row>
    <row r="164" spans="4:4" ht="15.75" customHeight="1">
      <c r="D164" s="1"/>
    </row>
    <row r="165" spans="4:4" ht="15.75" customHeight="1">
      <c r="D165" s="1"/>
    </row>
    <row r="166" spans="4:4" ht="15.75" customHeight="1">
      <c r="D166" s="1"/>
    </row>
    <row r="167" spans="4:4" ht="15.75" customHeight="1">
      <c r="D167" s="1"/>
    </row>
    <row r="168" spans="4:4" ht="15.75" customHeight="1">
      <c r="D168" s="1"/>
    </row>
    <row r="169" spans="4:4" ht="15.75" customHeight="1">
      <c r="D169" s="1"/>
    </row>
    <row r="170" spans="4:4" ht="15.75" customHeight="1">
      <c r="D170" s="1"/>
    </row>
    <row r="171" spans="4:4" ht="15.75" customHeight="1">
      <c r="D171" s="1"/>
    </row>
    <row r="172" spans="4:4" ht="15.75" customHeight="1">
      <c r="D172" s="1"/>
    </row>
    <row r="173" spans="4:4" ht="15.75" customHeight="1">
      <c r="D173" s="1"/>
    </row>
    <row r="174" spans="4:4" ht="15.75" customHeight="1">
      <c r="D174" s="1"/>
    </row>
    <row r="175" spans="4:4" ht="15.75" customHeight="1">
      <c r="D175" s="1"/>
    </row>
    <row r="176" spans="4:4" ht="15.75" customHeight="1">
      <c r="D176" s="1"/>
    </row>
    <row r="177" spans="4:4" ht="15.75" customHeight="1">
      <c r="D177" s="1"/>
    </row>
    <row r="178" spans="4:4" ht="15.75" customHeight="1">
      <c r="D178" s="1"/>
    </row>
    <row r="179" spans="4:4" ht="15.75" customHeight="1">
      <c r="D179" s="1"/>
    </row>
    <row r="180" spans="4:4" ht="15.75" customHeight="1">
      <c r="D180" s="1"/>
    </row>
    <row r="181" spans="4:4" ht="15.75" customHeight="1">
      <c r="D181" s="1"/>
    </row>
    <row r="182" spans="4:4" ht="15.75" customHeight="1">
      <c r="D182" s="1"/>
    </row>
    <row r="183" spans="4:4" ht="15.75" customHeight="1">
      <c r="D183" s="1"/>
    </row>
    <row r="184" spans="4:4" ht="15.75" customHeight="1">
      <c r="D184" s="1"/>
    </row>
    <row r="185" spans="4:4" ht="15.75" customHeight="1">
      <c r="D185" s="1"/>
    </row>
    <row r="186" spans="4:4" ht="15.75" customHeight="1">
      <c r="D186" s="1"/>
    </row>
    <row r="187" spans="4:4" ht="15.75" customHeight="1">
      <c r="D187" s="1"/>
    </row>
    <row r="188" spans="4:4" ht="15.75" customHeight="1">
      <c r="D188" s="1"/>
    </row>
    <row r="189" spans="4:4" ht="15.75" customHeight="1">
      <c r="D189" s="1"/>
    </row>
    <row r="190" spans="4:4" ht="15.75" customHeight="1">
      <c r="D190" s="1"/>
    </row>
    <row r="191" spans="4:4" ht="15.75" customHeight="1">
      <c r="D191" s="1"/>
    </row>
    <row r="192" spans="4:4" ht="15.75" customHeight="1">
      <c r="D192" s="1"/>
    </row>
    <row r="193" spans="4:4" ht="15.75" customHeight="1">
      <c r="D193" s="1"/>
    </row>
    <row r="194" spans="4:4" ht="15.75" customHeight="1">
      <c r="D194" s="1"/>
    </row>
    <row r="195" spans="4:4" ht="15.75" customHeight="1">
      <c r="D195" s="1"/>
    </row>
    <row r="196" spans="4:4" ht="15.75" customHeight="1">
      <c r="D196" s="1"/>
    </row>
    <row r="197" spans="4:4" ht="15.75" customHeight="1">
      <c r="D197" s="1"/>
    </row>
    <row r="198" spans="4:4" ht="15.75" customHeight="1">
      <c r="D198" s="1"/>
    </row>
    <row r="199" spans="4:4" ht="15.75" customHeight="1">
      <c r="D199" s="1"/>
    </row>
    <row r="200" spans="4:4" ht="15.75" customHeight="1">
      <c r="D200" s="1"/>
    </row>
    <row r="201" spans="4:4" ht="15.75" customHeight="1">
      <c r="D201" s="1"/>
    </row>
    <row r="202" spans="4:4" ht="15.75" customHeight="1">
      <c r="D202" s="1"/>
    </row>
    <row r="203" spans="4:4" ht="15.75" customHeight="1">
      <c r="D203" s="1"/>
    </row>
    <row r="204" spans="4:4" ht="15.75" customHeight="1">
      <c r="D204" s="1"/>
    </row>
    <row r="205" spans="4:4" ht="15.75" customHeight="1">
      <c r="D205" s="1"/>
    </row>
    <row r="206" spans="4:4" ht="15.75" customHeight="1">
      <c r="D206" s="1"/>
    </row>
    <row r="207" spans="4:4" ht="15.75" customHeight="1">
      <c r="D207" s="1"/>
    </row>
    <row r="208" spans="4:4" ht="15.75" customHeight="1">
      <c r="D208" s="1"/>
    </row>
    <row r="209" spans="4:4" ht="15.75" customHeight="1">
      <c r="D209" s="1"/>
    </row>
    <row r="210" spans="4:4" ht="15.75" customHeight="1">
      <c r="D210" s="1"/>
    </row>
    <row r="211" spans="4:4" ht="15.75" customHeight="1">
      <c r="D211" s="1"/>
    </row>
    <row r="212" spans="4:4" ht="15.75" customHeight="1">
      <c r="D212" s="1"/>
    </row>
    <row r="213" spans="4:4" ht="15.75" customHeight="1">
      <c r="D213" s="1"/>
    </row>
    <row r="214" spans="4:4" ht="15.75" customHeight="1">
      <c r="D214" s="1"/>
    </row>
    <row r="215" spans="4:4" ht="15.75" customHeight="1">
      <c r="D215" s="1"/>
    </row>
    <row r="216" spans="4:4" ht="15.75" customHeight="1">
      <c r="D216" s="1"/>
    </row>
    <row r="217" spans="4:4" ht="15.75" customHeight="1">
      <c r="D217" s="1"/>
    </row>
    <row r="218" spans="4:4" ht="15.75" customHeight="1">
      <c r="D218" s="1"/>
    </row>
    <row r="219" spans="4:4" ht="15.75" customHeight="1">
      <c r="D219" s="1"/>
    </row>
    <row r="220" spans="4:4" ht="15.75" customHeight="1">
      <c r="D220" s="1"/>
    </row>
    <row r="221" spans="4:4" ht="15.75" customHeight="1">
      <c r="D221" s="1"/>
    </row>
    <row r="222" spans="4:4" ht="15.75" customHeight="1">
      <c r="D222" s="1"/>
    </row>
    <row r="223" spans="4:4" ht="15.75" customHeight="1">
      <c r="D223" s="1"/>
    </row>
    <row r="224" spans="4:4" ht="15.75" customHeight="1">
      <c r="D224" s="1"/>
    </row>
    <row r="225" spans="4:4" ht="15.75" customHeight="1">
      <c r="D225" s="1"/>
    </row>
    <row r="226" spans="4:4" ht="15.75" customHeight="1">
      <c r="D226" s="1"/>
    </row>
    <row r="227" spans="4:4" ht="15.75" customHeight="1">
      <c r="D227" s="1"/>
    </row>
    <row r="228" spans="4:4" ht="15.75" customHeight="1">
      <c r="D228" s="1"/>
    </row>
    <row r="229" spans="4:4" ht="15.75" customHeight="1">
      <c r="D229" s="1"/>
    </row>
    <row r="230" spans="4:4" ht="15.75" customHeight="1">
      <c r="D230" s="1"/>
    </row>
    <row r="231" spans="4:4" ht="15.75" customHeight="1">
      <c r="D231" s="1"/>
    </row>
    <row r="232" spans="4:4" ht="15.75" customHeight="1">
      <c r="D232" s="1"/>
    </row>
    <row r="233" spans="4:4" ht="15.75" customHeight="1">
      <c r="D233" s="1"/>
    </row>
    <row r="234" spans="4:4" ht="15.75" customHeight="1">
      <c r="D234" s="1"/>
    </row>
    <row r="235" spans="4:4" ht="15.75" customHeight="1">
      <c r="D235" s="1"/>
    </row>
    <row r="236" spans="4:4" ht="15.75" customHeight="1">
      <c r="D236" s="1"/>
    </row>
    <row r="237" spans="4:4" ht="15.75" customHeight="1">
      <c r="D237" s="1"/>
    </row>
    <row r="238" spans="4:4" ht="15.75" customHeight="1">
      <c r="D238" s="1"/>
    </row>
    <row r="239" spans="4:4" ht="15.75" customHeight="1">
      <c r="D239" s="1"/>
    </row>
    <row r="240" spans="4:4" ht="15.75" customHeight="1">
      <c r="D240" s="1"/>
    </row>
    <row r="241" spans="4:4" ht="15.75" customHeight="1">
      <c r="D241" s="1"/>
    </row>
    <row r="242" spans="4:4" ht="15.75" customHeight="1">
      <c r="D242" s="1"/>
    </row>
    <row r="243" spans="4:4" ht="15.75" customHeight="1">
      <c r="D243" s="1"/>
    </row>
    <row r="244" spans="4:4" ht="15.75" customHeight="1">
      <c r="D244" s="1"/>
    </row>
    <row r="245" spans="4:4" ht="15.75" customHeight="1">
      <c r="D245" s="1"/>
    </row>
    <row r="246" spans="4:4" ht="15.75" customHeight="1">
      <c r="D246" s="1"/>
    </row>
    <row r="247" spans="4:4" ht="15.75" customHeight="1">
      <c r="D247" s="1"/>
    </row>
    <row r="248" spans="4:4" ht="15.75" customHeight="1">
      <c r="D248" s="1"/>
    </row>
    <row r="249" spans="4:4" ht="15.75" customHeight="1">
      <c r="D249" s="1"/>
    </row>
    <row r="250" spans="4:4" ht="15.75" customHeight="1">
      <c r="D250" s="1"/>
    </row>
    <row r="251" spans="4:4" ht="15.75" customHeight="1">
      <c r="D251" s="1"/>
    </row>
    <row r="252" spans="4:4" ht="15.75" customHeight="1">
      <c r="D252" s="1"/>
    </row>
    <row r="253" spans="4:4" ht="15.75" customHeight="1">
      <c r="D253" s="1"/>
    </row>
    <row r="254" spans="4:4" ht="15.75" customHeight="1">
      <c r="D254" s="1"/>
    </row>
    <row r="255" spans="4:4" ht="15.75" customHeight="1">
      <c r="D255" s="1"/>
    </row>
    <row r="256" spans="4:4" ht="15.75" customHeight="1">
      <c r="D256" s="1"/>
    </row>
    <row r="257" spans="4:4" ht="15.75" customHeight="1">
      <c r="D257" s="1"/>
    </row>
    <row r="258" spans="4:4" ht="15.75" customHeight="1">
      <c r="D258" s="1"/>
    </row>
    <row r="259" spans="4:4" ht="15.75" customHeight="1">
      <c r="D259" s="1"/>
    </row>
    <row r="260" spans="4:4" ht="15.75" customHeight="1">
      <c r="D260" s="1"/>
    </row>
    <row r="261" spans="4:4" ht="15.75" customHeight="1">
      <c r="D261" s="1"/>
    </row>
    <row r="262" spans="4:4" ht="15.75" customHeight="1">
      <c r="D262" s="1"/>
    </row>
    <row r="263" spans="4:4" ht="15.75" customHeight="1">
      <c r="D263" s="1"/>
    </row>
    <row r="264" spans="4:4" ht="15.75" customHeight="1">
      <c r="D264" s="1"/>
    </row>
    <row r="265" spans="4:4" ht="15.75" customHeight="1">
      <c r="D265" s="1"/>
    </row>
    <row r="266" spans="4:4" ht="15.75" customHeight="1">
      <c r="D266" s="1"/>
    </row>
    <row r="267" spans="4:4" ht="15.75" customHeight="1">
      <c r="D267" s="1"/>
    </row>
    <row r="268" spans="4:4" ht="15.75" customHeight="1">
      <c r="D268" s="1"/>
    </row>
    <row r="269" spans="4:4" ht="15.75" customHeight="1">
      <c r="D269" s="1"/>
    </row>
    <row r="270" spans="4:4" ht="15.75" customHeight="1">
      <c r="D270" s="1"/>
    </row>
    <row r="271" spans="4:4" ht="15.75" customHeight="1">
      <c r="D271" s="1"/>
    </row>
    <row r="272" spans="4:4" ht="15.75" customHeight="1">
      <c r="D272" s="1"/>
    </row>
    <row r="273" spans="4:4" ht="15.75" customHeight="1">
      <c r="D273" s="1"/>
    </row>
    <row r="274" spans="4:4" ht="15.75" customHeight="1">
      <c r="D274" s="1"/>
    </row>
    <row r="275" spans="4:4" ht="15.75" customHeight="1">
      <c r="D275" s="1"/>
    </row>
    <row r="276" spans="4:4" ht="15.75" customHeight="1">
      <c r="D276" s="1"/>
    </row>
    <row r="277" spans="4:4" ht="15.75" customHeight="1">
      <c r="D277" s="1"/>
    </row>
    <row r="278" spans="4:4" ht="15.75" customHeight="1">
      <c r="D278" s="1"/>
    </row>
    <row r="279" spans="4:4" ht="15.75" customHeight="1">
      <c r="D279" s="1"/>
    </row>
    <row r="280" spans="4:4" ht="15.75" customHeight="1">
      <c r="D280" s="1"/>
    </row>
    <row r="281" spans="4:4" ht="15.75" customHeight="1">
      <c r="D281" s="1"/>
    </row>
    <row r="282" spans="4:4" ht="15.75" customHeight="1">
      <c r="D282" s="1"/>
    </row>
    <row r="283" spans="4:4" ht="15.75" customHeight="1">
      <c r="D283" s="1"/>
    </row>
    <row r="284" spans="4:4" ht="15.75" customHeight="1">
      <c r="D284" s="1"/>
    </row>
    <row r="285" spans="4:4" ht="15.75" customHeight="1">
      <c r="D285" s="1"/>
    </row>
    <row r="286" spans="4:4" ht="15.75" customHeight="1">
      <c r="D286" s="1"/>
    </row>
    <row r="287" spans="4:4" ht="15.75" customHeight="1">
      <c r="D287" s="1"/>
    </row>
    <row r="288" spans="4:4" ht="15.75" customHeight="1">
      <c r="D288" s="1"/>
    </row>
    <row r="289" spans="4:4" ht="15.75" customHeight="1">
      <c r="D289" s="1"/>
    </row>
    <row r="290" spans="4:4" ht="15.75" customHeight="1">
      <c r="D290" s="1"/>
    </row>
    <row r="291" spans="4:4" ht="15.75" customHeight="1">
      <c r="D291" s="1"/>
    </row>
    <row r="292" spans="4:4" ht="15.75" customHeight="1">
      <c r="D292" s="1"/>
    </row>
    <row r="293" spans="4:4" ht="15.75" customHeight="1">
      <c r="D293" s="1"/>
    </row>
    <row r="294" spans="4:4" ht="15.75" customHeight="1">
      <c r="D294" s="1"/>
    </row>
    <row r="295" spans="4:4" ht="15.75" customHeight="1">
      <c r="D295" s="1"/>
    </row>
    <row r="296" spans="4:4" ht="15.75" customHeight="1">
      <c r="D296" s="1"/>
    </row>
    <row r="297" spans="4:4" ht="15.75" customHeight="1">
      <c r="D297" s="1"/>
    </row>
    <row r="298" spans="4:4" ht="15.75" customHeight="1"/>
    <row r="299" spans="4:4" ht="15.75" customHeight="1"/>
    <row r="300" spans="4:4" ht="15.75" customHeight="1"/>
    <row r="301" spans="4:4" ht="15.75" customHeight="1"/>
    <row r="302" spans="4:4" ht="15.75" customHeight="1"/>
    <row r="303" spans="4:4" ht="15.75" customHeight="1"/>
    <row r="304" spans="4: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D96:E96"/>
    <mergeCell ref="D97:E97"/>
    <mergeCell ref="D3:E3"/>
    <mergeCell ref="F4:G4"/>
    <mergeCell ref="F5:G5"/>
    <mergeCell ref="F6:G6"/>
    <mergeCell ref="A8:J8"/>
    <mergeCell ref="C10:C11"/>
    <mergeCell ref="D10:D11"/>
    <mergeCell ref="E10:E11"/>
    <mergeCell ref="G10:G11"/>
    <mergeCell ref="D93:E93"/>
    <mergeCell ref="D94:E94"/>
    <mergeCell ref="D95:E9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1000"/>
  <sheetViews>
    <sheetView topLeftCell="A50" zoomScale="79" workbookViewId="0">
      <selection activeCell="BB10" sqref="BB10:BB90"/>
    </sheetView>
  </sheetViews>
  <sheetFormatPr defaultRowHeight="15" customHeight="1"/>
  <cols>
    <col min="1" max="1" width="14.6640625" customWidth="1"/>
    <col min="2" max="2" width="28" customWidth="1"/>
    <col min="3" max="5" width="2.44140625" customWidth="1"/>
    <col min="6" max="6" width="3.88671875" customWidth="1"/>
    <col min="7" max="9" width="2.44140625" customWidth="1"/>
    <col min="10" max="10" width="3.44140625" customWidth="1"/>
    <col min="11" max="13" width="2.44140625" customWidth="1"/>
    <col min="14" max="14" width="3.44140625" customWidth="1"/>
    <col min="15" max="15" width="3.88671875" customWidth="1"/>
    <col min="16" max="17" width="2.44140625" customWidth="1"/>
    <col min="18" max="18" width="3.44140625" customWidth="1"/>
    <col min="19" max="19" width="3.109375" customWidth="1"/>
    <col min="20" max="20" width="2.44140625" customWidth="1"/>
    <col min="21" max="21" width="3.6640625" customWidth="1"/>
    <col min="22" max="22" width="3.5546875" customWidth="1"/>
    <col min="23" max="23" width="2.5546875" customWidth="1"/>
    <col min="24" max="29" width="2.44140625" customWidth="1"/>
    <col min="30" max="30" width="2.88671875" customWidth="1"/>
    <col min="31" max="33" width="2.44140625" customWidth="1"/>
    <col min="34" max="34" width="3.33203125" customWidth="1"/>
    <col min="35" max="37" width="2.44140625" customWidth="1"/>
    <col min="38" max="38" width="3.44140625" customWidth="1"/>
    <col min="39" max="41" width="2.44140625" customWidth="1"/>
    <col min="42" max="62" width="3" customWidth="1"/>
    <col min="63" max="63" width="4.44140625" customWidth="1"/>
    <col min="64" max="65" width="4.44140625" hidden="1" customWidth="1"/>
    <col min="66" max="66" width="4.44140625" customWidth="1"/>
  </cols>
  <sheetData>
    <row r="1" spans="1:67" ht="21" customHeight="1">
      <c r="A1" s="26"/>
      <c r="B1" s="27"/>
      <c r="C1" s="18"/>
      <c r="D1" s="4"/>
      <c r="E1" s="18"/>
      <c r="F1" s="1"/>
      <c r="G1" s="4"/>
      <c r="H1" s="18"/>
      <c r="I1" s="183" t="s">
        <v>94</v>
      </c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67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9"/>
      <c r="BN1" s="29"/>
    </row>
    <row r="2" spans="1:67" ht="21.75" customHeight="1">
      <c r="A2" s="30"/>
      <c r="B2" s="27"/>
      <c r="C2" s="31"/>
      <c r="D2" s="31"/>
      <c r="E2" s="18"/>
      <c r="F2" s="31"/>
      <c r="G2" s="31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9"/>
      <c r="BN2" s="29"/>
    </row>
    <row r="3" spans="1:67" ht="43.5" customHeight="1">
      <c r="A3" s="30"/>
      <c r="B3" s="33"/>
      <c r="C3" s="183" t="s">
        <v>1</v>
      </c>
      <c r="D3" s="182"/>
      <c r="E3" s="182"/>
      <c r="F3" s="182"/>
      <c r="G3" s="182"/>
      <c r="H3" s="182"/>
      <c r="I3" s="182"/>
      <c r="J3" s="182"/>
      <c r="K3" s="182"/>
      <c r="L3" s="167"/>
      <c r="M3" s="184" t="s">
        <v>263</v>
      </c>
      <c r="N3" s="185"/>
      <c r="O3" s="185"/>
      <c r="P3" s="185"/>
      <c r="Q3" s="185"/>
      <c r="R3" s="185"/>
      <c r="S3" s="186"/>
      <c r="T3" s="181" t="s">
        <v>2</v>
      </c>
      <c r="U3" s="182"/>
      <c r="V3" s="190" t="s">
        <v>133</v>
      </c>
      <c r="W3" s="190"/>
      <c r="X3" s="190"/>
      <c r="Y3" s="190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29"/>
    </row>
    <row r="4" spans="1:67" ht="21.75" customHeight="1">
      <c r="A4" s="30"/>
      <c r="B4" s="34"/>
      <c r="C4" s="183" t="s">
        <v>3</v>
      </c>
      <c r="D4" s="182"/>
      <c r="E4" s="182"/>
      <c r="F4" s="182"/>
      <c r="G4" s="182"/>
      <c r="H4" s="182"/>
      <c r="I4" s="182"/>
      <c r="J4" s="182"/>
      <c r="K4" s="182"/>
      <c r="L4" s="167"/>
      <c r="M4" s="187" t="s">
        <v>149</v>
      </c>
      <c r="N4" s="188"/>
      <c r="O4" s="188"/>
      <c r="P4" s="188"/>
      <c r="Q4" s="188"/>
      <c r="R4" s="188"/>
      <c r="S4" s="189"/>
      <c r="T4" s="181" t="s">
        <v>4</v>
      </c>
      <c r="U4" s="182"/>
      <c r="V4" s="190" t="s">
        <v>148</v>
      </c>
      <c r="W4" s="190"/>
      <c r="X4" s="190"/>
      <c r="Y4" s="190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9"/>
      <c r="BN4" s="29"/>
    </row>
    <row r="5" spans="1:67" ht="21.75" customHeight="1">
      <c r="A5" s="30"/>
      <c r="B5" s="34"/>
      <c r="C5" s="183" t="s">
        <v>5</v>
      </c>
      <c r="D5" s="182"/>
      <c r="E5" s="182"/>
      <c r="F5" s="182"/>
      <c r="G5" s="182"/>
      <c r="H5" s="182"/>
      <c r="I5" s="182"/>
      <c r="J5" s="182"/>
      <c r="K5" s="182"/>
      <c r="L5" s="167"/>
      <c r="M5" s="197" t="s">
        <v>6</v>
      </c>
      <c r="N5" s="182"/>
      <c r="O5" s="182"/>
      <c r="P5" s="182"/>
      <c r="Q5" s="182"/>
      <c r="R5" s="182"/>
      <c r="S5" s="167"/>
      <c r="T5" s="198" t="s">
        <v>7</v>
      </c>
      <c r="U5" s="182"/>
      <c r="V5" s="193" t="s">
        <v>8</v>
      </c>
      <c r="W5" s="193"/>
      <c r="X5" s="193"/>
      <c r="Y5" s="193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9"/>
      <c r="BN5" s="29"/>
    </row>
    <row r="6" spans="1:67" ht="21" customHeight="1">
      <c r="A6" s="30"/>
      <c r="B6" s="35"/>
      <c r="C6" s="36"/>
      <c r="D6" s="199" t="s">
        <v>150</v>
      </c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  <c r="S6" s="182"/>
      <c r="T6" s="182"/>
      <c r="U6" s="182"/>
      <c r="V6" s="200"/>
      <c r="W6" s="200"/>
      <c r="X6" s="200"/>
      <c r="Y6" s="200"/>
      <c r="Z6" s="182"/>
      <c r="AA6" s="182"/>
      <c r="AB6" s="182"/>
      <c r="AC6" s="182"/>
      <c r="AD6" s="182"/>
      <c r="AE6" s="182"/>
      <c r="AF6" s="182"/>
      <c r="AG6" s="182"/>
      <c r="AH6" s="182"/>
      <c r="AI6" s="182"/>
      <c r="AJ6" s="182"/>
      <c r="AK6" s="167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9"/>
      <c r="BN6" s="29"/>
    </row>
    <row r="7" spans="1:67" ht="21.75" customHeight="1" thickBot="1">
      <c r="A7" s="37"/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9"/>
      <c r="BN7" s="29"/>
    </row>
    <row r="8" spans="1:67" ht="42.75" customHeight="1">
      <c r="A8" s="194" t="s">
        <v>95</v>
      </c>
      <c r="B8" s="196" t="s">
        <v>96</v>
      </c>
      <c r="C8" s="192" t="s">
        <v>97</v>
      </c>
      <c r="D8" s="182"/>
      <c r="E8" s="182"/>
      <c r="F8" s="167"/>
      <c r="G8" s="192" t="s">
        <v>98</v>
      </c>
      <c r="H8" s="182"/>
      <c r="I8" s="182"/>
      <c r="J8" s="167"/>
      <c r="K8" s="192" t="s">
        <v>99</v>
      </c>
      <c r="L8" s="182"/>
      <c r="M8" s="182"/>
      <c r="N8" s="167"/>
      <c r="O8" s="192" t="s">
        <v>100</v>
      </c>
      <c r="P8" s="182"/>
      <c r="Q8" s="182"/>
      <c r="R8" s="167"/>
      <c r="S8" s="192" t="s">
        <v>101</v>
      </c>
      <c r="T8" s="182"/>
      <c r="U8" s="182"/>
      <c r="V8" s="167"/>
      <c r="W8" s="191" t="s">
        <v>102</v>
      </c>
      <c r="X8" s="182"/>
      <c r="Y8" s="182"/>
      <c r="Z8" s="167"/>
      <c r="AA8" s="191" t="s">
        <v>103</v>
      </c>
      <c r="AB8" s="182"/>
      <c r="AC8" s="182"/>
      <c r="AD8" s="167"/>
      <c r="AE8" s="191" t="s">
        <v>104</v>
      </c>
      <c r="AF8" s="182"/>
      <c r="AG8" s="182"/>
      <c r="AH8" s="167"/>
      <c r="AI8" s="191" t="s">
        <v>105</v>
      </c>
      <c r="AJ8" s="182"/>
      <c r="AK8" s="182"/>
      <c r="AL8" s="167"/>
      <c r="AM8" s="191" t="s">
        <v>106</v>
      </c>
      <c r="AN8" s="182"/>
      <c r="AO8" s="182"/>
      <c r="AP8" s="167"/>
      <c r="AQ8" s="191" t="s">
        <v>152</v>
      </c>
      <c r="AR8" s="182"/>
      <c r="AS8" s="182"/>
      <c r="AT8" s="167"/>
      <c r="AU8" s="191" t="s">
        <v>153</v>
      </c>
      <c r="AV8" s="182"/>
      <c r="AW8" s="182"/>
      <c r="AX8" s="167"/>
      <c r="AY8" s="191" t="s">
        <v>154</v>
      </c>
      <c r="AZ8" s="182"/>
      <c r="BA8" s="182"/>
      <c r="BB8" s="167"/>
      <c r="BC8" s="191" t="s">
        <v>155</v>
      </c>
      <c r="BD8" s="182"/>
      <c r="BE8" s="182"/>
      <c r="BF8" s="167"/>
      <c r="BG8" s="191" t="s">
        <v>156</v>
      </c>
      <c r="BH8" s="182"/>
      <c r="BI8" s="182"/>
      <c r="BJ8" s="167"/>
      <c r="BK8" s="39"/>
      <c r="BL8" s="39"/>
      <c r="BM8" s="40"/>
      <c r="BN8" s="76"/>
    </row>
    <row r="9" spans="1:67" ht="187.5" customHeight="1" thickBot="1">
      <c r="A9" s="195"/>
      <c r="B9" s="176"/>
      <c r="C9" s="41" t="s">
        <v>107</v>
      </c>
      <c r="D9" s="41" t="s">
        <v>108</v>
      </c>
      <c r="E9" s="41" t="s">
        <v>109</v>
      </c>
      <c r="F9" s="41" t="s">
        <v>110</v>
      </c>
      <c r="G9" s="41" t="s">
        <v>107</v>
      </c>
      <c r="H9" s="41" t="s">
        <v>108</v>
      </c>
      <c r="I9" s="41" t="s">
        <v>109</v>
      </c>
      <c r="J9" s="41" t="s">
        <v>110</v>
      </c>
      <c r="K9" s="41" t="s">
        <v>107</v>
      </c>
      <c r="L9" s="41" t="s">
        <v>108</v>
      </c>
      <c r="M9" s="41" t="s">
        <v>109</v>
      </c>
      <c r="N9" s="41" t="s">
        <v>110</v>
      </c>
      <c r="O9" s="41" t="s">
        <v>107</v>
      </c>
      <c r="P9" s="41" t="s">
        <v>108</v>
      </c>
      <c r="Q9" s="41" t="s">
        <v>109</v>
      </c>
      <c r="R9" s="41" t="s">
        <v>110</v>
      </c>
      <c r="S9" s="41" t="s">
        <v>107</v>
      </c>
      <c r="T9" s="41" t="s">
        <v>108</v>
      </c>
      <c r="U9" s="41" t="s">
        <v>109</v>
      </c>
      <c r="V9" s="41" t="s">
        <v>110</v>
      </c>
      <c r="W9" s="41" t="s">
        <v>107</v>
      </c>
      <c r="X9" s="41" t="s">
        <v>108</v>
      </c>
      <c r="Y9" s="41" t="s">
        <v>109</v>
      </c>
      <c r="Z9" s="41" t="s">
        <v>110</v>
      </c>
      <c r="AA9" s="41" t="s">
        <v>107</v>
      </c>
      <c r="AB9" s="41" t="s">
        <v>108</v>
      </c>
      <c r="AC9" s="41" t="s">
        <v>109</v>
      </c>
      <c r="AD9" s="41" t="s">
        <v>110</v>
      </c>
      <c r="AE9" s="41" t="s">
        <v>107</v>
      </c>
      <c r="AF9" s="41" t="s">
        <v>108</v>
      </c>
      <c r="AG9" s="41" t="s">
        <v>109</v>
      </c>
      <c r="AH9" s="41" t="s">
        <v>110</v>
      </c>
      <c r="AI9" s="41" t="s">
        <v>107</v>
      </c>
      <c r="AJ9" s="41" t="s">
        <v>108</v>
      </c>
      <c r="AK9" s="41" t="s">
        <v>109</v>
      </c>
      <c r="AL9" s="41" t="s">
        <v>110</v>
      </c>
      <c r="AM9" s="41" t="s">
        <v>107</v>
      </c>
      <c r="AN9" s="41" t="s">
        <v>108</v>
      </c>
      <c r="AO9" s="41" t="s">
        <v>109</v>
      </c>
      <c r="AP9" s="41" t="s">
        <v>110</v>
      </c>
      <c r="AQ9" s="41" t="s">
        <v>107</v>
      </c>
      <c r="AR9" s="41" t="s">
        <v>108</v>
      </c>
      <c r="AS9" s="41" t="s">
        <v>109</v>
      </c>
      <c r="AT9" s="41" t="s">
        <v>110</v>
      </c>
      <c r="AU9" s="41" t="s">
        <v>107</v>
      </c>
      <c r="AV9" s="41" t="s">
        <v>108</v>
      </c>
      <c r="AW9" s="41" t="s">
        <v>109</v>
      </c>
      <c r="AX9" s="41" t="s">
        <v>110</v>
      </c>
      <c r="AY9" s="41" t="s">
        <v>107</v>
      </c>
      <c r="AZ9" s="41" t="s">
        <v>108</v>
      </c>
      <c r="BA9" s="41" t="s">
        <v>109</v>
      </c>
      <c r="BB9" s="41" t="s">
        <v>110</v>
      </c>
      <c r="BC9" s="41" t="s">
        <v>107</v>
      </c>
      <c r="BD9" s="41" t="s">
        <v>108</v>
      </c>
      <c r="BE9" s="41" t="s">
        <v>109</v>
      </c>
      <c r="BF9" s="41" t="s">
        <v>110</v>
      </c>
      <c r="BG9" s="41" t="s">
        <v>107</v>
      </c>
      <c r="BH9" s="41" t="s">
        <v>108</v>
      </c>
      <c r="BI9" s="41" t="s">
        <v>109</v>
      </c>
      <c r="BJ9" s="41" t="s">
        <v>110</v>
      </c>
      <c r="BK9" s="41"/>
      <c r="BL9" s="41"/>
      <c r="BM9" s="40"/>
      <c r="BN9" s="76"/>
      <c r="BO9" s="75" t="s">
        <v>151</v>
      </c>
    </row>
    <row r="10" spans="1:67" ht="21" customHeight="1">
      <c r="A10" s="125" t="s">
        <v>15</v>
      </c>
      <c r="B10" s="116" t="s">
        <v>175</v>
      </c>
      <c r="C10" s="42">
        <v>2</v>
      </c>
      <c r="D10" s="42">
        <v>5</v>
      </c>
      <c r="E10" s="42">
        <v>2</v>
      </c>
      <c r="F10" s="42">
        <f t="shared" ref="F10:F57" si="0">C10+D10+E10</f>
        <v>9</v>
      </c>
      <c r="G10" s="43">
        <v>2</v>
      </c>
      <c r="H10" s="43">
        <v>2</v>
      </c>
      <c r="I10" s="43">
        <v>2</v>
      </c>
      <c r="J10" s="42">
        <f t="shared" ref="J10:J57" si="1">G10+H10+I10</f>
        <v>6</v>
      </c>
      <c r="K10" s="43">
        <v>2</v>
      </c>
      <c r="L10" s="43">
        <v>2</v>
      </c>
      <c r="M10" s="43">
        <v>2</v>
      </c>
      <c r="N10" s="42">
        <f t="shared" ref="N10:N57" si="2">K10+L10+M10</f>
        <v>6</v>
      </c>
      <c r="O10" s="43">
        <v>2</v>
      </c>
      <c r="P10" s="43">
        <v>4</v>
      </c>
      <c r="Q10" s="43">
        <v>2</v>
      </c>
      <c r="R10" s="42">
        <f t="shared" ref="R10:R57" si="3">O10+P10+Q10</f>
        <v>8</v>
      </c>
      <c r="S10" s="43">
        <v>2</v>
      </c>
      <c r="T10" s="43">
        <v>6</v>
      </c>
      <c r="U10" s="43">
        <v>2</v>
      </c>
      <c r="V10" s="42">
        <f t="shared" ref="V10:V57" si="4">S10+T10+U10</f>
        <v>10</v>
      </c>
      <c r="W10" s="43">
        <v>2</v>
      </c>
      <c r="X10" s="43">
        <v>2</v>
      </c>
      <c r="Y10" s="43">
        <v>2</v>
      </c>
      <c r="Z10" s="42">
        <f t="shared" ref="Z10:Z57" si="5">W10+X10+Y10</f>
        <v>6</v>
      </c>
      <c r="AA10" s="43">
        <v>2</v>
      </c>
      <c r="AB10" s="43">
        <v>5</v>
      </c>
      <c r="AC10" s="43">
        <v>2</v>
      </c>
      <c r="AD10" s="42">
        <f t="shared" ref="AD10:AD57" si="6">AA10+AB10+AC10</f>
        <v>9</v>
      </c>
      <c r="AE10" s="43">
        <v>2</v>
      </c>
      <c r="AF10" s="43">
        <v>4</v>
      </c>
      <c r="AG10" s="43">
        <v>2</v>
      </c>
      <c r="AH10" s="42">
        <f t="shared" ref="AH10:AH57" si="7">AE10+AF10+AG10</f>
        <v>8</v>
      </c>
      <c r="AI10" s="43">
        <v>2</v>
      </c>
      <c r="AJ10" s="43">
        <v>2</v>
      </c>
      <c r="AK10" s="43">
        <v>2</v>
      </c>
      <c r="AL10" s="42">
        <f t="shared" ref="AL10:AL57" si="8">AI10+AJ10+AK10</f>
        <v>6</v>
      </c>
      <c r="AM10" s="43">
        <v>2</v>
      </c>
      <c r="AN10" s="43">
        <v>6</v>
      </c>
      <c r="AO10" s="43">
        <v>2</v>
      </c>
      <c r="AP10" s="42">
        <f t="shared" ref="AP10:AP57" si="9">AM10+AN10+AO10</f>
        <v>10</v>
      </c>
      <c r="AQ10" s="43">
        <v>2</v>
      </c>
      <c r="AR10" s="43">
        <v>6</v>
      </c>
      <c r="AS10" s="43">
        <v>2</v>
      </c>
      <c r="AT10" s="42">
        <f t="shared" ref="AT10:AT57" si="10">AQ10+AR10+AS10</f>
        <v>10</v>
      </c>
      <c r="AU10" s="43">
        <v>1</v>
      </c>
      <c r="AV10" s="43">
        <v>2</v>
      </c>
      <c r="AW10" s="43">
        <v>2</v>
      </c>
      <c r="AX10" s="42">
        <f t="shared" ref="AX10:AX57" si="11">AU10+AV10+AW10</f>
        <v>5</v>
      </c>
      <c r="AY10" s="43">
        <v>2</v>
      </c>
      <c r="AZ10" s="43">
        <v>5</v>
      </c>
      <c r="BA10" s="43">
        <v>2</v>
      </c>
      <c r="BB10" s="42">
        <f t="shared" ref="BB10:BB57" si="12">AY10+AZ10+BA10</f>
        <v>9</v>
      </c>
      <c r="BC10" s="43">
        <v>2</v>
      </c>
      <c r="BD10" s="43">
        <v>4</v>
      </c>
      <c r="BE10" s="43">
        <v>2</v>
      </c>
      <c r="BF10" s="42">
        <f t="shared" ref="BF10:BF57" si="13">BC10+BD10+BE10</f>
        <v>8</v>
      </c>
      <c r="BG10" s="43">
        <v>2</v>
      </c>
      <c r="BH10" s="43">
        <v>5</v>
      </c>
      <c r="BI10" s="43">
        <v>2</v>
      </c>
      <c r="BJ10" s="42">
        <f t="shared" ref="BJ10:BJ57" si="14">BG10+BH10+BI10</f>
        <v>9</v>
      </c>
      <c r="BK10" s="42">
        <f>SUM(F10,J10,N10,R10,V10,Z10,AD10,AH10,AL10,AP10,AT10,AX10,BB10,BF10,BJ10)</f>
        <v>119</v>
      </c>
      <c r="BL10" s="44"/>
      <c r="BM10" s="77"/>
      <c r="BN10" s="79">
        <f>(BK10/150)*50</f>
        <v>39.666666666666664</v>
      </c>
      <c r="BO10" s="134">
        <v>40</v>
      </c>
    </row>
    <row r="11" spans="1:67" ht="21" customHeight="1">
      <c r="A11" s="125" t="s">
        <v>16</v>
      </c>
      <c r="B11" s="116" t="s">
        <v>176</v>
      </c>
      <c r="C11" s="42">
        <v>2</v>
      </c>
      <c r="D11" s="42">
        <v>3</v>
      </c>
      <c r="E11" s="42">
        <v>2</v>
      </c>
      <c r="F11" s="42">
        <f t="shared" si="0"/>
        <v>7</v>
      </c>
      <c r="G11" s="43">
        <v>2</v>
      </c>
      <c r="H11" s="43">
        <v>2</v>
      </c>
      <c r="I11" s="43">
        <v>2</v>
      </c>
      <c r="J11" s="42">
        <f t="shared" si="1"/>
        <v>6</v>
      </c>
      <c r="K11" s="43">
        <v>2</v>
      </c>
      <c r="L11" s="43">
        <v>2</v>
      </c>
      <c r="M11" s="43">
        <v>2</v>
      </c>
      <c r="N11" s="42">
        <f t="shared" si="2"/>
        <v>6</v>
      </c>
      <c r="O11" s="43">
        <v>2</v>
      </c>
      <c r="P11" s="43">
        <v>4</v>
      </c>
      <c r="Q11" s="43">
        <v>2</v>
      </c>
      <c r="R11" s="42">
        <f t="shared" si="3"/>
        <v>8</v>
      </c>
      <c r="S11" s="43">
        <v>2</v>
      </c>
      <c r="T11" s="43">
        <v>6</v>
      </c>
      <c r="U11" s="43">
        <v>2</v>
      </c>
      <c r="V11" s="42">
        <f t="shared" si="4"/>
        <v>10</v>
      </c>
      <c r="W11" s="43">
        <v>2</v>
      </c>
      <c r="X11" s="43">
        <v>2</v>
      </c>
      <c r="Y11" s="43">
        <v>2</v>
      </c>
      <c r="Z11" s="42">
        <f t="shared" si="5"/>
        <v>6</v>
      </c>
      <c r="AA11" s="43">
        <v>2</v>
      </c>
      <c r="AB11" s="43">
        <v>5</v>
      </c>
      <c r="AC11" s="43">
        <v>2</v>
      </c>
      <c r="AD11" s="42">
        <f t="shared" si="6"/>
        <v>9</v>
      </c>
      <c r="AE11" s="43">
        <v>2</v>
      </c>
      <c r="AF11" s="43">
        <v>4</v>
      </c>
      <c r="AG11" s="43">
        <v>2</v>
      </c>
      <c r="AH11" s="42">
        <f t="shared" si="7"/>
        <v>8</v>
      </c>
      <c r="AI11" s="43">
        <v>2</v>
      </c>
      <c r="AJ11" s="43">
        <v>5</v>
      </c>
      <c r="AK11" s="43">
        <v>2</v>
      </c>
      <c r="AL11" s="42">
        <f t="shared" si="8"/>
        <v>9</v>
      </c>
      <c r="AM11" s="43">
        <v>2</v>
      </c>
      <c r="AN11" s="43">
        <v>3</v>
      </c>
      <c r="AO11" s="43">
        <v>2</v>
      </c>
      <c r="AP11" s="42">
        <f t="shared" si="9"/>
        <v>7</v>
      </c>
      <c r="AQ11" s="43">
        <v>2</v>
      </c>
      <c r="AR11" s="43">
        <v>3</v>
      </c>
      <c r="AS11" s="43">
        <v>2</v>
      </c>
      <c r="AT11" s="42">
        <f t="shared" si="10"/>
        <v>7</v>
      </c>
      <c r="AU11" s="43">
        <v>2</v>
      </c>
      <c r="AV11" s="43">
        <v>5</v>
      </c>
      <c r="AW11" s="43">
        <v>2</v>
      </c>
      <c r="AX11" s="42">
        <f t="shared" si="11"/>
        <v>9</v>
      </c>
      <c r="AY11" s="43">
        <v>2</v>
      </c>
      <c r="AZ11" s="43">
        <v>5</v>
      </c>
      <c r="BA11" s="43">
        <v>2</v>
      </c>
      <c r="BB11" s="42">
        <f t="shared" si="12"/>
        <v>9</v>
      </c>
      <c r="BC11" s="43">
        <v>2</v>
      </c>
      <c r="BD11" s="43">
        <v>4</v>
      </c>
      <c r="BE11" s="43">
        <v>2</v>
      </c>
      <c r="BF11" s="42">
        <f t="shared" si="13"/>
        <v>8</v>
      </c>
      <c r="BG11" s="43">
        <v>1</v>
      </c>
      <c r="BH11" s="43">
        <v>3</v>
      </c>
      <c r="BI11" s="43">
        <v>2</v>
      </c>
      <c r="BJ11" s="42">
        <f t="shared" si="14"/>
        <v>6</v>
      </c>
      <c r="BK11" s="42">
        <f t="shared" ref="BK11:BK57" si="15">SUM(F11,J11,N11,R11,V11,Z11,AD11,AH11,AL11,AP11,AT11,AX11,BB11,BF11,BJ11)</f>
        <v>115</v>
      </c>
      <c r="BL11" s="44"/>
      <c r="BM11" s="77"/>
      <c r="BN11" s="79">
        <f t="shared" ref="BN11:BN74" si="16">(BK11/150)*50</f>
        <v>38.333333333333336</v>
      </c>
      <c r="BO11" s="134">
        <v>38</v>
      </c>
    </row>
    <row r="12" spans="1:67" ht="21" customHeight="1">
      <c r="A12" s="125" t="s">
        <v>17</v>
      </c>
      <c r="B12" s="116" t="s">
        <v>177</v>
      </c>
      <c r="C12" s="42">
        <v>2</v>
      </c>
      <c r="D12" s="42">
        <v>5</v>
      </c>
      <c r="E12" s="42">
        <v>2</v>
      </c>
      <c r="F12" s="42">
        <f t="shared" si="0"/>
        <v>9</v>
      </c>
      <c r="G12" s="43">
        <v>2</v>
      </c>
      <c r="H12" s="43">
        <v>2</v>
      </c>
      <c r="I12" s="43">
        <v>2</v>
      </c>
      <c r="J12" s="42">
        <f t="shared" si="1"/>
        <v>6</v>
      </c>
      <c r="K12" s="43">
        <v>2</v>
      </c>
      <c r="L12" s="43">
        <v>2</v>
      </c>
      <c r="M12" s="43">
        <v>2</v>
      </c>
      <c r="N12" s="42">
        <f t="shared" si="2"/>
        <v>6</v>
      </c>
      <c r="O12" s="43">
        <v>2</v>
      </c>
      <c r="P12" s="43">
        <v>4</v>
      </c>
      <c r="Q12" s="43">
        <v>2</v>
      </c>
      <c r="R12" s="42">
        <f t="shared" si="3"/>
        <v>8</v>
      </c>
      <c r="S12" s="43">
        <v>2</v>
      </c>
      <c r="T12" s="43">
        <v>6</v>
      </c>
      <c r="U12" s="43">
        <v>2</v>
      </c>
      <c r="V12" s="42">
        <f t="shared" si="4"/>
        <v>10</v>
      </c>
      <c r="W12" s="43">
        <v>2</v>
      </c>
      <c r="X12" s="43">
        <v>2</v>
      </c>
      <c r="Y12" s="43">
        <v>2</v>
      </c>
      <c r="Z12" s="42">
        <f t="shared" si="5"/>
        <v>6</v>
      </c>
      <c r="AA12" s="43">
        <v>2</v>
      </c>
      <c r="AB12" s="43">
        <v>5</v>
      </c>
      <c r="AC12" s="43">
        <v>2</v>
      </c>
      <c r="AD12" s="42">
        <f t="shared" si="6"/>
        <v>9</v>
      </c>
      <c r="AE12" s="43">
        <v>2</v>
      </c>
      <c r="AF12" s="43">
        <v>6</v>
      </c>
      <c r="AG12" s="43">
        <v>2</v>
      </c>
      <c r="AH12" s="42">
        <f t="shared" si="7"/>
        <v>10</v>
      </c>
      <c r="AI12" s="43">
        <v>2</v>
      </c>
      <c r="AJ12" s="43">
        <v>6</v>
      </c>
      <c r="AK12" s="43">
        <v>2</v>
      </c>
      <c r="AL12" s="42">
        <f t="shared" si="8"/>
        <v>10</v>
      </c>
      <c r="AM12" s="43">
        <v>2</v>
      </c>
      <c r="AN12" s="43">
        <v>6</v>
      </c>
      <c r="AO12" s="43">
        <v>2</v>
      </c>
      <c r="AP12" s="42">
        <f t="shared" si="9"/>
        <v>10</v>
      </c>
      <c r="AQ12" s="43">
        <v>2</v>
      </c>
      <c r="AR12" s="43">
        <v>4</v>
      </c>
      <c r="AS12" s="43">
        <v>2</v>
      </c>
      <c r="AT12" s="42">
        <f t="shared" si="10"/>
        <v>8</v>
      </c>
      <c r="AU12" s="43">
        <v>2</v>
      </c>
      <c r="AV12" s="43">
        <v>5</v>
      </c>
      <c r="AW12" s="43">
        <v>2</v>
      </c>
      <c r="AX12" s="42">
        <f t="shared" si="11"/>
        <v>9</v>
      </c>
      <c r="AY12" s="43">
        <v>2</v>
      </c>
      <c r="AZ12" s="43">
        <v>3</v>
      </c>
      <c r="BA12" s="43">
        <v>2</v>
      </c>
      <c r="BB12" s="42">
        <f t="shared" si="12"/>
        <v>7</v>
      </c>
      <c r="BC12" s="43">
        <v>1</v>
      </c>
      <c r="BD12" s="43">
        <v>4</v>
      </c>
      <c r="BE12" s="43">
        <v>2</v>
      </c>
      <c r="BF12" s="42">
        <f t="shared" si="13"/>
        <v>7</v>
      </c>
      <c r="BG12" s="43">
        <v>1</v>
      </c>
      <c r="BH12" s="43">
        <v>3</v>
      </c>
      <c r="BI12" s="43">
        <v>2</v>
      </c>
      <c r="BJ12" s="42">
        <f t="shared" si="14"/>
        <v>6</v>
      </c>
      <c r="BK12" s="42">
        <f t="shared" si="15"/>
        <v>121</v>
      </c>
      <c r="BL12" s="44"/>
      <c r="BM12" s="77"/>
      <c r="BN12" s="79">
        <f t="shared" si="16"/>
        <v>40.333333333333329</v>
      </c>
      <c r="BO12" s="134">
        <v>40</v>
      </c>
    </row>
    <row r="13" spans="1:67" ht="21" customHeight="1">
      <c r="A13" s="125" t="s">
        <v>18</v>
      </c>
      <c r="B13" s="116" t="s">
        <v>178</v>
      </c>
      <c r="C13" s="42">
        <v>2</v>
      </c>
      <c r="D13" s="42">
        <v>4</v>
      </c>
      <c r="E13" s="42">
        <v>2</v>
      </c>
      <c r="F13" s="42">
        <f t="shared" si="0"/>
        <v>8</v>
      </c>
      <c r="G13" s="43">
        <v>2</v>
      </c>
      <c r="H13" s="43">
        <v>2</v>
      </c>
      <c r="I13" s="43">
        <v>2</v>
      </c>
      <c r="J13" s="42">
        <f t="shared" si="1"/>
        <v>6</v>
      </c>
      <c r="K13" s="43">
        <v>2</v>
      </c>
      <c r="L13" s="43">
        <v>2</v>
      </c>
      <c r="M13" s="43">
        <v>2</v>
      </c>
      <c r="N13" s="42">
        <f t="shared" si="2"/>
        <v>6</v>
      </c>
      <c r="O13" s="43">
        <v>2</v>
      </c>
      <c r="P13" s="43">
        <v>5</v>
      </c>
      <c r="Q13" s="43">
        <v>2</v>
      </c>
      <c r="R13" s="42">
        <f t="shared" si="3"/>
        <v>9</v>
      </c>
      <c r="S13" s="43">
        <v>2</v>
      </c>
      <c r="T13" s="43">
        <v>6</v>
      </c>
      <c r="U13" s="43">
        <v>2</v>
      </c>
      <c r="V13" s="42">
        <f t="shared" si="4"/>
        <v>10</v>
      </c>
      <c r="W13" s="43">
        <v>2</v>
      </c>
      <c r="X13" s="43">
        <v>2</v>
      </c>
      <c r="Y13" s="43">
        <v>2</v>
      </c>
      <c r="Z13" s="42">
        <f t="shared" si="5"/>
        <v>6</v>
      </c>
      <c r="AA13" s="43">
        <v>2</v>
      </c>
      <c r="AB13" s="43">
        <v>5</v>
      </c>
      <c r="AC13" s="43">
        <v>2</v>
      </c>
      <c r="AD13" s="42">
        <f t="shared" si="6"/>
        <v>9</v>
      </c>
      <c r="AE13" s="43">
        <v>2</v>
      </c>
      <c r="AF13" s="43">
        <v>6</v>
      </c>
      <c r="AG13" s="43">
        <v>2</v>
      </c>
      <c r="AH13" s="42">
        <f t="shared" si="7"/>
        <v>10</v>
      </c>
      <c r="AI13" s="43">
        <v>2</v>
      </c>
      <c r="AJ13" s="43">
        <v>5</v>
      </c>
      <c r="AK13" s="43">
        <v>2</v>
      </c>
      <c r="AL13" s="42">
        <f t="shared" si="8"/>
        <v>9</v>
      </c>
      <c r="AM13" s="43">
        <v>2</v>
      </c>
      <c r="AN13" s="43">
        <v>5</v>
      </c>
      <c r="AO13" s="43">
        <v>2</v>
      </c>
      <c r="AP13" s="42">
        <f t="shared" si="9"/>
        <v>9</v>
      </c>
      <c r="AQ13" s="43">
        <v>2</v>
      </c>
      <c r="AR13" s="43">
        <v>4</v>
      </c>
      <c r="AS13" s="43">
        <v>2</v>
      </c>
      <c r="AT13" s="42">
        <f t="shared" si="10"/>
        <v>8</v>
      </c>
      <c r="AU13" s="43">
        <v>2</v>
      </c>
      <c r="AV13" s="43">
        <v>6</v>
      </c>
      <c r="AW13" s="43">
        <v>2</v>
      </c>
      <c r="AX13" s="42">
        <f t="shared" si="11"/>
        <v>10</v>
      </c>
      <c r="AY13" s="43">
        <v>2</v>
      </c>
      <c r="AZ13" s="43">
        <v>4</v>
      </c>
      <c r="BA13" s="43">
        <v>2</v>
      </c>
      <c r="BB13" s="42">
        <f t="shared" si="12"/>
        <v>8</v>
      </c>
      <c r="BC13" s="43">
        <v>2</v>
      </c>
      <c r="BD13" s="43">
        <v>5</v>
      </c>
      <c r="BE13" s="43">
        <v>2</v>
      </c>
      <c r="BF13" s="42">
        <f t="shared" si="13"/>
        <v>9</v>
      </c>
      <c r="BG13" s="43">
        <v>2</v>
      </c>
      <c r="BH13" s="43">
        <v>6</v>
      </c>
      <c r="BI13" s="43">
        <v>2</v>
      </c>
      <c r="BJ13" s="42">
        <f t="shared" si="14"/>
        <v>10</v>
      </c>
      <c r="BK13" s="42">
        <f t="shared" si="15"/>
        <v>127</v>
      </c>
      <c r="BL13" s="44"/>
      <c r="BM13" s="77"/>
      <c r="BN13" s="79">
        <f t="shared" si="16"/>
        <v>42.333333333333336</v>
      </c>
      <c r="BO13" s="134">
        <v>42</v>
      </c>
    </row>
    <row r="14" spans="1:67" ht="21" customHeight="1">
      <c r="A14" s="125" t="s">
        <v>19</v>
      </c>
      <c r="B14" s="116" t="s">
        <v>179</v>
      </c>
      <c r="C14" s="42">
        <v>2</v>
      </c>
      <c r="D14" s="42">
        <v>4</v>
      </c>
      <c r="E14" s="42">
        <v>2</v>
      </c>
      <c r="F14" s="42">
        <f t="shared" ref="F14" si="17">C14+D14+E14</f>
        <v>8</v>
      </c>
      <c r="G14" s="43">
        <v>2</v>
      </c>
      <c r="H14" s="43">
        <v>2</v>
      </c>
      <c r="I14" s="43">
        <v>2</v>
      </c>
      <c r="J14" s="42">
        <f t="shared" ref="J14" si="18">G14+H14+I14</f>
        <v>6</v>
      </c>
      <c r="K14" s="43">
        <v>2</v>
      </c>
      <c r="L14" s="43">
        <v>2</v>
      </c>
      <c r="M14" s="43">
        <v>2</v>
      </c>
      <c r="N14" s="42">
        <f t="shared" ref="N14" si="19">K14+L14+M14</f>
        <v>6</v>
      </c>
      <c r="O14" s="43">
        <v>2</v>
      </c>
      <c r="P14" s="43">
        <v>5</v>
      </c>
      <c r="Q14" s="43">
        <v>2</v>
      </c>
      <c r="R14" s="42">
        <f t="shared" ref="R14" si="20">O14+P14+Q14</f>
        <v>9</v>
      </c>
      <c r="S14" s="43">
        <v>2</v>
      </c>
      <c r="T14" s="43">
        <v>6</v>
      </c>
      <c r="U14" s="43">
        <v>2</v>
      </c>
      <c r="V14" s="42">
        <f t="shared" ref="V14" si="21">S14+T14+U14</f>
        <v>10</v>
      </c>
      <c r="W14" s="43">
        <v>2</v>
      </c>
      <c r="X14" s="43">
        <v>4</v>
      </c>
      <c r="Y14" s="43">
        <v>2</v>
      </c>
      <c r="Z14" s="42">
        <f t="shared" ref="Z14" si="22">W14+X14+Y14</f>
        <v>8</v>
      </c>
      <c r="AA14" s="43">
        <v>2</v>
      </c>
      <c r="AB14" s="43">
        <v>5</v>
      </c>
      <c r="AC14" s="43">
        <v>2</v>
      </c>
      <c r="AD14" s="42">
        <f t="shared" ref="AD14" si="23">AA14+AB14+AC14</f>
        <v>9</v>
      </c>
      <c r="AE14" s="43">
        <v>2</v>
      </c>
      <c r="AF14" s="43">
        <v>6</v>
      </c>
      <c r="AG14" s="43">
        <v>2</v>
      </c>
      <c r="AH14" s="42">
        <f t="shared" ref="AH14" si="24">AE14+AF14+AG14</f>
        <v>10</v>
      </c>
      <c r="AI14" s="43">
        <v>2</v>
      </c>
      <c r="AJ14" s="43">
        <v>5</v>
      </c>
      <c r="AK14" s="43">
        <v>2</v>
      </c>
      <c r="AL14" s="42">
        <f t="shared" ref="AL14" si="25">AI14+AJ14+AK14</f>
        <v>9</v>
      </c>
      <c r="AM14" s="43">
        <v>2</v>
      </c>
      <c r="AN14" s="43">
        <v>6</v>
      </c>
      <c r="AO14" s="43">
        <v>2</v>
      </c>
      <c r="AP14" s="42">
        <f t="shared" ref="AP14" si="26">AM14+AN14+AO14</f>
        <v>10</v>
      </c>
      <c r="AQ14" s="43">
        <v>2</v>
      </c>
      <c r="AR14" s="43">
        <v>6</v>
      </c>
      <c r="AS14" s="43">
        <v>2</v>
      </c>
      <c r="AT14" s="42">
        <f t="shared" ref="AT14" si="27">AQ14+AR14+AS14</f>
        <v>10</v>
      </c>
      <c r="AU14" s="43">
        <v>2</v>
      </c>
      <c r="AV14" s="43">
        <v>6</v>
      </c>
      <c r="AW14" s="43">
        <v>2</v>
      </c>
      <c r="AX14" s="42">
        <f t="shared" ref="AX14" si="28">AU14+AV14+AW14</f>
        <v>10</v>
      </c>
      <c r="AY14" s="43">
        <v>2</v>
      </c>
      <c r="AZ14" s="43">
        <v>6</v>
      </c>
      <c r="BA14" s="43">
        <v>2</v>
      </c>
      <c r="BB14" s="42">
        <f t="shared" ref="BB14" si="29">AY14+AZ14+BA14</f>
        <v>10</v>
      </c>
      <c r="BC14" s="43">
        <v>2</v>
      </c>
      <c r="BD14" s="43">
        <v>6</v>
      </c>
      <c r="BE14" s="43">
        <v>2</v>
      </c>
      <c r="BF14" s="42">
        <f t="shared" ref="BF14" si="30">BC14+BD14+BE14</f>
        <v>10</v>
      </c>
      <c r="BG14" s="43">
        <v>2</v>
      </c>
      <c r="BH14" s="43">
        <v>6</v>
      </c>
      <c r="BI14" s="43">
        <v>2</v>
      </c>
      <c r="BJ14" s="42">
        <f t="shared" ref="BJ14" si="31">BG14+BH14+BI14</f>
        <v>10</v>
      </c>
      <c r="BK14" s="42">
        <f t="shared" si="15"/>
        <v>135</v>
      </c>
      <c r="BL14" s="44"/>
      <c r="BM14" s="77"/>
      <c r="BN14" s="79">
        <f t="shared" si="16"/>
        <v>45</v>
      </c>
      <c r="BO14" s="134">
        <v>45</v>
      </c>
    </row>
    <row r="15" spans="1:67" ht="21" customHeight="1">
      <c r="A15" s="125" t="s">
        <v>20</v>
      </c>
      <c r="B15" s="116" t="s">
        <v>180</v>
      </c>
      <c r="C15" s="42">
        <v>2</v>
      </c>
      <c r="D15" s="42">
        <v>3</v>
      </c>
      <c r="E15" s="42">
        <v>2</v>
      </c>
      <c r="F15" s="42">
        <f t="shared" si="0"/>
        <v>7</v>
      </c>
      <c r="G15" s="43">
        <v>2</v>
      </c>
      <c r="H15" s="43">
        <v>2</v>
      </c>
      <c r="I15" s="43">
        <v>2</v>
      </c>
      <c r="J15" s="42">
        <f t="shared" si="1"/>
        <v>6</v>
      </c>
      <c r="K15" s="43">
        <v>1</v>
      </c>
      <c r="L15" s="43">
        <v>2</v>
      </c>
      <c r="M15" s="43">
        <v>2</v>
      </c>
      <c r="N15" s="42">
        <f t="shared" si="2"/>
        <v>5</v>
      </c>
      <c r="O15" s="43">
        <v>1</v>
      </c>
      <c r="P15" s="43">
        <v>2</v>
      </c>
      <c r="Q15" s="43">
        <v>2</v>
      </c>
      <c r="R15" s="42">
        <f t="shared" si="3"/>
        <v>5</v>
      </c>
      <c r="S15" s="43">
        <v>2</v>
      </c>
      <c r="T15" s="43">
        <v>2</v>
      </c>
      <c r="U15" s="43">
        <v>2</v>
      </c>
      <c r="V15" s="42">
        <f t="shared" si="4"/>
        <v>6</v>
      </c>
      <c r="W15" s="43">
        <v>2</v>
      </c>
      <c r="X15" s="43">
        <v>2</v>
      </c>
      <c r="Y15" s="43">
        <v>2</v>
      </c>
      <c r="Z15" s="42">
        <f t="shared" si="5"/>
        <v>6</v>
      </c>
      <c r="AA15" s="43">
        <v>2</v>
      </c>
      <c r="AB15" s="43">
        <v>4</v>
      </c>
      <c r="AC15" s="43">
        <v>2</v>
      </c>
      <c r="AD15" s="42">
        <f t="shared" si="6"/>
        <v>8</v>
      </c>
      <c r="AE15" s="43">
        <v>2</v>
      </c>
      <c r="AF15" s="43">
        <v>3</v>
      </c>
      <c r="AG15" s="43">
        <v>2</v>
      </c>
      <c r="AH15" s="42">
        <f t="shared" si="7"/>
        <v>7</v>
      </c>
      <c r="AI15" s="43">
        <v>2</v>
      </c>
      <c r="AJ15" s="43">
        <v>4</v>
      </c>
      <c r="AK15" s="43">
        <v>2</v>
      </c>
      <c r="AL15" s="42">
        <f t="shared" si="8"/>
        <v>8</v>
      </c>
      <c r="AM15" s="43">
        <v>2</v>
      </c>
      <c r="AN15" s="43">
        <v>3</v>
      </c>
      <c r="AO15" s="43">
        <v>2</v>
      </c>
      <c r="AP15" s="42">
        <f t="shared" si="9"/>
        <v>7</v>
      </c>
      <c r="AQ15" s="43">
        <v>2</v>
      </c>
      <c r="AR15" s="43">
        <v>4</v>
      </c>
      <c r="AS15" s="43">
        <v>2</v>
      </c>
      <c r="AT15" s="42">
        <f t="shared" si="10"/>
        <v>8</v>
      </c>
      <c r="AU15" s="43">
        <v>2</v>
      </c>
      <c r="AV15" s="43">
        <v>4</v>
      </c>
      <c r="AW15" s="43">
        <v>2</v>
      </c>
      <c r="AX15" s="42">
        <f t="shared" si="11"/>
        <v>8</v>
      </c>
      <c r="AY15" s="43">
        <v>2</v>
      </c>
      <c r="AZ15" s="43">
        <v>3</v>
      </c>
      <c r="BA15" s="43">
        <v>2</v>
      </c>
      <c r="BB15" s="42">
        <f t="shared" si="12"/>
        <v>7</v>
      </c>
      <c r="BC15" s="43">
        <v>2</v>
      </c>
      <c r="BD15" s="43">
        <v>5</v>
      </c>
      <c r="BE15" s="43">
        <v>2</v>
      </c>
      <c r="BF15" s="42">
        <f t="shared" si="13"/>
        <v>9</v>
      </c>
      <c r="BG15" s="43">
        <v>2</v>
      </c>
      <c r="BH15" s="43">
        <v>6</v>
      </c>
      <c r="BI15" s="43">
        <v>2</v>
      </c>
      <c r="BJ15" s="42">
        <f t="shared" si="14"/>
        <v>10</v>
      </c>
      <c r="BK15" s="42">
        <f t="shared" si="15"/>
        <v>107</v>
      </c>
      <c r="BL15" s="44"/>
      <c r="BM15" s="77"/>
      <c r="BN15" s="79">
        <f t="shared" si="16"/>
        <v>35.666666666666671</v>
      </c>
      <c r="BO15" s="134">
        <v>36</v>
      </c>
    </row>
    <row r="16" spans="1:67" ht="21" customHeight="1">
      <c r="A16" s="125" t="s">
        <v>22</v>
      </c>
      <c r="B16" s="116" t="s">
        <v>181</v>
      </c>
      <c r="C16" s="42">
        <v>2</v>
      </c>
      <c r="D16" s="42">
        <v>5</v>
      </c>
      <c r="E16" s="42">
        <v>2</v>
      </c>
      <c r="F16" s="42">
        <f t="shared" si="0"/>
        <v>9</v>
      </c>
      <c r="G16" s="43">
        <v>2</v>
      </c>
      <c r="H16" s="43">
        <v>2</v>
      </c>
      <c r="I16" s="43">
        <v>2</v>
      </c>
      <c r="J16" s="42">
        <f t="shared" si="1"/>
        <v>6</v>
      </c>
      <c r="K16" s="43">
        <v>2</v>
      </c>
      <c r="L16" s="43">
        <v>2</v>
      </c>
      <c r="M16" s="43">
        <v>2</v>
      </c>
      <c r="N16" s="42">
        <f t="shared" si="2"/>
        <v>6</v>
      </c>
      <c r="O16" s="43">
        <v>2</v>
      </c>
      <c r="P16" s="43">
        <v>4</v>
      </c>
      <c r="Q16" s="43">
        <v>2</v>
      </c>
      <c r="R16" s="42">
        <f t="shared" si="3"/>
        <v>8</v>
      </c>
      <c r="S16" s="43">
        <v>2</v>
      </c>
      <c r="T16" s="43">
        <v>6</v>
      </c>
      <c r="U16" s="43">
        <v>2</v>
      </c>
      <c r="V16" s="42">
        <f t="shared" si="4"/>
        <v>10</v>
      </c>
      <c r="W16" s="43">
        <v>2</v>
      </c>
      <c r="X16" s="43">
        <v>4</v>
      </c>
      <c r="Y16" s="43">
        <v>2</v>
      </c>
      <c r="Z16" s="42">
        <f t="shared" si="5"/>
        <v>8</v>
      </c>
      <c r="AA16" s="43">
        <v>2</v>
      </c>
      <c r="AB16" s="43">
        <v>5</v>
      </c>
      <c r="AC16" s="43">
        <v>2</v>
      </c>
      <c r="AD16" s="42">
        <f t="shared" si="6"/>
        <v>9</v>
      </c>
      <c r="AE16" s="43">
        <v>2</v>
      </c>
      <c r="AF16" s="43">
        <v>3</v>
      </c>
      <c r="AG16" s="43">
        <v>2</v>
      </c>
      <c r="AH16" s="42">
        <f t="shared" si="7"/>
        <v>7</v>
      </c>
      <c r="AI16" s="43">
        <v>2</v>
      </c>
      <c r="AJ16" s="43">
        <v>4</v>
      </c>
      <c r="AK16" s="43">
        <v>2</v>
      </c>
      <c r="AL16" s="42">
        <f t="shared" si="8"/>
        <v>8</v>
      </c>
      <c r="AM16" s="43">
        <v>2</v>
      </c>
      <c r="AN16" s="43">
        <v>4</v>
      </c>
      <c r="AO16" s="43">
        <v>2</v>
      </c>
      <c r="AP16" s="42">
        <f t="shared" si="9"/>
        <v>8</v>
      </c>
      <c r="AQ16" s="43">
        <v>1</v>
      </c>
      <c r="AR16" s="43">
        <v>3</v>
      </c>
      <c r="AS16" s="43">
        <v>2</v>
      </c>
      <c r="AT16" s="42">
        <f t="shared" si="10"/>
        <v>6</v>
      </c>
      <c r="AU16" s="43">
        <v>2</v>
      </c>
      <c r="AV16" s="43">
        <v>6</v>
      </c>
      <c r="AW16" s="43">
        <v>2</v>
      </c>
      <c r="AX16" s="42">
        <f t="shared" si="11"/>
        <v>10</v>
      </c>
      <c r="AY16" s="43">
        <v>2</v>
      </c>
      <c r="AZ16" s="43">
        <v>5</v>
      </c>
      <c r="BA16" s="43">
        <v>2</v>
      </c>
      <c r="BB16" s="42">
        <f t="shared" si="12"/>
        <v>9</v>
      </c>
      <c r="BC16" s="43">
        <v>2</v>
      </c>
      <c r="BD16" s="43">
        <v>3</v>
      </c>
      <c r="BE16" s="43">
        <v>2</v>
      </c>
      <c r="BF16" s="42">
        <f t="shared" si="13"/>
        <v>7</v>
      </c>
      <c r="BG16" s="43">
        <v>1</v>
      </c>
      <c r="BH16" s="43">
        <v>3</v>
      </c>
      <c r="BI16" s="43">
        <v>2</v>
      </c>
      <c r="BJ16" s="42">
        <f t="shared" si="14"/>
        <v>6</v>
      </c>
      <c r="BK16" s="42">
        <f t="shared" si="15"/>
        <v>117</v>
      </c>
      <c r="BL16" s="44"/>
      <c r="BM16" s="77"/>
      <c r="BN16" s="79">
        <f t="shared" si="16"/>
        <v>39</v>
      </c>
      <c r="BO16" s="134">
        <v>39</v>
      </c>
    </row>
    <row r="17" spans="1:67" ht="21" customHeight="1">
      <c r="A17" s="125" t="s">
        <v>23</v>
      </c>
      <c r="B17" s="117" t="s">
        <v>21</v>
      </c>
      <c r="C17" s="42">
        <v>1</v>
      </c>
      <c r="D17" s="42">
        <v>3</v>
      </c>
      <c r="E17" s="42">
        <v>1</v>
      </c>
      <c r="F17" s="42">
        <f t="shared" si="0"/>
        <v>5</v>
      </c>
      <c r="G17" s="43">
        <v>2</v>
      </c>
      <c r="H17" s="43">
        <v>2</v>
      </c>
      <c r="I17" s="43">
        <v>2</v>
      </c>
      <c r="J17" s="42">
        <f t="shared" si="1"/>
        <v>6</v>
      </c>
      <c r="K17" s="43">
        <v>2</v>
      </c>
      <c r="L17" s="43">
        <v>2</v>
      </c>
      <c r="M17" s="43">
        <v>2</v>
      </c>
      <c r="N17" s="42">
        <f t="shared" si="2"/>
        <v>6</v>
      </c>
      <c r="O17" s="43">
        <v>2</v>
      </c>
      <c r="P17" s="43">
        <v>4</v>
      </c>
      <c r="Q17" s="43">
        <v>2</v>
      </c>
      <c r="R17" s="42">
        <f t="shared" si="3"/>
        <v>8</v>
      </c>
      <c r="S17" s="43">
        <v>1</v>
      </c>
      <c r="T17" s="43">
        <v>3</v>
      </c>
      <c r="U17" s="43">
        <v>1</v>
      </c>
      <c r="V17" s="42">
        <f t="shared" si="4"/>
        <v>5</v>
      </c>
      <c r="W17" s="43">
        <v>2</v>
      </c>
      <c r="X17" s="43">
        <v>2</v>
      </c>
      <c r="Y17" s="43">
        <v>2</v>
      </c>
      <c r="Z17" s="42">
        <f t="shared" si="5"/>
        <v>6</v>
      </c>
      <c r="AA17" s="43">
        <v>2</v>
      </c>
      <c r="AB17" s="43">
        <v>5</v>
      </c>
      <c r="AC17" s="43">
        <v>2</v>
      </c>
      <c r="AD17" s="42">
        <f t="shared" si="6"/>
        <v>9</v>
      </c>
      <c r="AE17" s="43">
        <v>2</v>
      </c>
      <c r="AF17" s="43">
        <v>6</v>
      </c>
      <c r="AG17" s="43">
        <v>2</v>
      </c>
      <c r="AH17" s="42">
        <f t="shared" si="7"/>
        <v>10</v>
      </c>
      <c r="AI17" s="43">
        <v>2</v>
      </c>
      <c r="AJ17" s="43">
        <v>3</v>
      </c>
      <c r="AK17" s="43">
        <v>2</v>
      </c>
      <c r="AL17" s="42">
        <f t="shared" si="8"/>
        <v>7</v>
      </c>
      <c r="AM17" s="43">
        <v>1</v>
      </c>
      <c r="AN17" s="43">
        <v>3</v>
      </c>
      <c r="AO17" s="43">
        <v>1</v>
      </c>
      <c r="AP17" s="42">
        <f t="shared" si="9"/>
        <v>5</v>
      </c>
      <c r="AQ17" s="43">
        <v>2</v>
      </c>
      <c r="AR17" s="43">
        <v>3</v>
      </c>
      <c r="AS17" s="43">
        <v>2</v>
      </c>
      <c r="AT17" s="42">
        <f t="shared" si="10"/>
        <v>7</v>
      </c>
      <c r="AU17" s="43">
        <v>1</v>
      </c>
      <c r="AV17" s="43">
        <v>3</v>
      </c>
      <c r="AW17" s="43">
        <v>1</v>
      </c>
      <c r="AX17" s="42">
        <f t="shared" si="11"/>
        <v>5</v>
      </c>
      <c r="AY17" s="43">
        <v>2</v>
      </c>
      <c r="AZ17" s="43">
        <v>3</v>
      </c>
      <c r="BA17" s="43">
        <v>2</v>
      </c>
      <c r="BB17" s="42">
        <f t="shared" si="12"/>
        <v>7</v>
      </c>
      <c r="BC17" s="43">
        <v>1</v>
      </c>
      <c r="BD17" s="43">
        <v>3</v>
      </c>
      <c r="BE17" s="43">
        <v>2</v>
      </c>
      <c r="BF17" s="42">
        <f t="shared" si="13"/>
        <v>6</v>
      </c>
      <c r="BG17" s="43">
        <v>1</v>
      </c>
      <c r="BH17" s="43">
        <v>3</v>
      </c>
      <c r="BI17" s="43">
        <v>1</v>
      </c>
      <c r="BJ17" s="42">
        <f t="shared" si="14"/>
        <v>5</v>
      </c>
      <c r="BK17" s="42">
        <f t="shared" si="15"/>
        <v>97</v>
      </c>
      <c r="BL17" s="44"/>
      <c r="BM17" s="77"/>
      <c r="BN17" s="79">
        <f t="shared" si="16"/>
        <v>32.333333333333329</v>
      </c>
      <c r="BO17" s="134">
        <v>32</v>
      </c>
    </row>
    <row r="18" spans="1:67" ht="21" customHeight="1">
      <c r="A18" s="125" t="s">
        <v>24</v>
      </c>
      <c r="B18" s="117" t="s">
        <v>182</v>
      </c>
      <c r="C18" s="42">
        <v>2</v>
      </c>
      <c r="D18" s="42">
        <v>5</v>
      </c>
      <c r="E18" s="42">
        <v>2</v>
      </c>
      <c r="F18" s="42">
        <f t="shared" si="0"/>
        <v>9</v>
      </c>
      <c r="G18" s="43">
        <v>2</v>
      </c>
      <c r="H18" s="43">
        <v>2</v>
      </c>
      <c r="I18" s="43">
        <v>2</v>
      </c>
      <c r="J18" s="42">
        <f t="shared" si="1"/>
        <v>6</v>
      </c>
      <c r="K18" s="43">
        <v>2</v>
      </c>
      <c r="L18" s="43">
        <v>2</v>
      </c>
      <c r="M18" s="43">
        <v>2</v>
      </c>
      <c r="N18" s="42">
        <f t="shared" si="2"/>
        <v>6</v>
      </c>
      <c r="O18" s="43">
        <v>2</v>
      </c>
      <c r="P18" s="43">
        <v>4</v>
      </c>
      <c r="Q18" s="43">
        <v>2</v>
      </c>
      <c r="R18" s="42">
        <f t="shared" si="3"/>
        <v>8</v>
      </c>
      <c r="S18" s="43">
        <v>2</v>
      </c>
      <c r="T18" s="43">
        <v>6</v>
      </c>
      <c r="U18" s="43">
        <v>2</v>
      </c>
      <c r="V18" s="42">
        <f t="shared" si="4"/>
        <v>10</v>
      </c>
      <c r="W18" s="43">
        <v>2</v>
      </c>
      <c r="X18" s="43">
        <v>2</v>
      </c>
      <c r="Y18" s="43">
        <v>2</v>
      </c>
      <c r="Z18" s="42">
        <f t="shared" si="5"/>
        <v>6</v>
      </c>
      <c r="AA18" s="43">
        <v>2</v>
      </c>
      <c r="AB18" s="43">
        <v>5</v>
      </c>
      <c r="AC18" s="43">
        <v>2</v>
      </c>
      <c r="AD18" s="42">
        <f t="shared" si="6"/>
        <v>9</v>
      </c>
      <c r="AE18" s="43">
        <v>2</v>
      </c>
      <c r="AF18" s="43">
        <v>6</v>
      </c>
      <c r="AG18" s="43">
        <v>2</v>
      </c>
      <c r="AH18" s="42">
        <f t="shared" si="7"/>
        <v>10</v>
      </c>
      <c r="AI18" s="43">
        <v>2</v>
      </c>
      <c r="AJ18" s="43">
        <v>6</v>
      </c>
      <c r="AK18" s="43">
        <v>2</v>
      </c>
      <c r="AL18" s="42">
        <f t="shared" si="8"/>
        <v>10</v>
      </c>
      <c r="AM18" s="43">
        <v>2</v>
      </c>
      <c r="AN18" s="43">
        <v>6</v>
      </c>
      <c r="AO18" s="43">
        <v>2</v>
      </c>
      <c r="AP18" s="42">
        <f t="shared" si="9"/>
        <v>10</v>
      </c>
      <c r="AQ18" s="43">
        <v>2</v>
      </c>
      <c r="AR18" s="43">
        <v>5</v>
      </c>
      <c r="AS18" s="43">
        <v>2</v>
      </c>
      <c r="AT18" s="42">
        <f t="shared" si="10"/>
        <v>9</v>
      </c>
      <c r="AU18" s="43">
        <v>2</v>
      </c>
      <c r="AV18" s="43">
        <v>4</v>
      </c>
      <c r="AW18" s="43">
        <v>2</v>
      </c>
      <c r="AX18" s="42">
        <f t="shared" si="11"/>
        <v>8</v>
      </c>
      <c r="AY18" s="43">
        <v>2</v>
      </c>
      <c r="AZ18" s="43">
        <v>3</v>
      </c>
      <c r="BA18" s="43">
        <v>2</v>
      </c>
      <c r="BB18" s="42">
        <f t="shared" si="12"/>
        <v>7</v>
      </c>
      <c r="BC18" s="43">
        <v>1</v>
      </c>
      <c r="BD18" s="43">
        <v>3</v>
      </c>
      <c r="BE18" s="43">
        <v>1</v>
      </c>
      <c r="BF18" s="42">
        <f t="shared" si="13"/>
        <v>5</v>
      </c>
      <c r="BG18" s="43">
        <v>1</v>
      </c>
      <c r="BH18" s="43">
        <v>2</v>
      </c>
      <c r="BI18" s="43">
        <v>2</v>
      </c>
      <c r="BJ18" s="42">
        <f t="shared" si="14"/>
        <v>5</v>
      </c>
      <c r="BK18" s="42">
        <f t="shared" si="15"/>
        <v>118</v>
      </c>
      <c r="BL18" s="44"/>
      <c r="BM18" s="77"/>
      <c r="BN18" s="79">
        <f t="shared" si="16"/>
        <v>39.333333333333329</v>
      </c>
      <c r="BO18" s="134">
        <v>39</v>
      </c>
    </row>
    <row r="19" spans="1:67" ht="21" customHeight="1">
      <c r="A19" s="125" t="s">
        <v>25</v>
      </c>
      <c r="B19" s="117" t="s">
        <v>182</v>
      </c>
      <c r="C19" s="42">
        <v>2</v>
      </c>
      <c r="D19" s="42">
        <v>5</v>
      </c>
      <c r="E19" s="42">
        <v>2</v>
      </c>
      <c r="F19" s="42">
        <f t="shared" ref="F19:F21" si="32">C19+D19+E19</f>
        <v>9</v>
      </c>
      <c r="G19" s="43">
        <v>2</v>
      </c>
      <c r="H19" s="43">
        <v>2</v>
      </c>
      <c r="I19" s="43">
        <v>2</v>
      </c>
      <c r="J19" s="42">
        <f t="shared" ref="J19:J21" si="33">G19+H19+I19</f>
        <v>6</v>
      </c>
      <c r="K19" s="43">
        <v>2</v>
      </c>
      <c r="L19" s="43">
        <v>2</v>
      </c>
      <c r="M19" s="43">
        <v>2</v>
      </c>
      <c r="N19" s="42">
        <f t="shared" ref="N19:N21" si="34">K19+L19+M19</f>
        <v>6</v>
      </c>
      <c r="O19" s="43">
        <v>2</v>
      </c>
      <c r="P19" s="43">
        <v>4</v>
      </c>
      <c r="Q19" s="43">
        <v>2</v>
      </c>
      <c r="R19" s="42">
        <f t="shared" ref="R19:R21" si="35">O19+P19+Q19</f>
        <v>8</v>
      </c>
      <c r="S19" s="43">
        <v>2</v>
      </c>
      <c r="T19" s="43">
        <v>6</v>
      </c>
      <c r="U19" s="43">
        <v>2</v>
      </c>
      <c r="V19" s="42">
        <f t="shared" ref="V19:V21" si="36">S19+T19+U19</f>
        <v>10</v>
      </c>
      <c r="W19" s="43">
        <v>2</v>
      </c>
      <c r="X19" s="43">
        <v>2</v>
      </c>
      <c r="Y19" s="43">
        <v>2</v>
      </c>
      <c r="Z19" s="42">
        <f t="shared" ref="Z19:Z21" si="37">W19+X19+Y19</f>
        <v>6</v>
      </c>
      <c r="AA19" s="43">
        <v>2</v>
      </c>
      <c r="AB19" s="43">
        <v>5</v>
      </c>
      <c r="AC19" s="43">
        <v>2</v>
      </c>
      <c r="AD19" s="42">
        <f t="shared" ref="AD19:AD21" si="38">AA19+AB19+AC19</f>
        <v>9</v>
      </c>
      <c r="AE19" s="43">
        <v>2</v>
      </c>
      <c r="AF19" s="43">
        <v>6</v>
      </c>
      <c r="AG19" s="43">
        <v>2</v>
      </c>
      <c r="AH19" s="42">
        <f t="shared" ref="AH19:AH21" si="39">AE19+AF19+AG19</f>
        <v>10</v>
      </c>
      <c r="AI19" s="43">
        <v>2</v>
      </c>
      <c r="AJ19" s="43">
        <v>6</v>
      </c>
      <c r="AK19" s="43">
        <v>2</v>
      </c>
      <c r="AL19" s="42">
        <f t="shared" ref="AL19:AL21" si="40">AI19+AJ19+AK19</f>
        <v>10</v>
      </c>
      <c r="AM19" s="43">
        <v>2</v>
      </c>
      <c r="AN19" s="43">
        <v>6</v>
      </c>
      <c r="AO19" s="43">
        <v>2</v>
      </c>
      <c r="AP19" s="42">
        <f t="shared" ref="AP19:AP21" si="41">AM19+AN19+AO19</f>
        <v>10</v>
      </c>
      <c r="AQ19" s="43">
        <v>2</v>
      </c>
      <c r="AR19" s="43">
        <v>5</v>
      </c>
      <c r="AS19" s="43">
        <v>2</v>
      </c>
      <c r="AT19" s="42">
        <f t="shared" ref="AT19:AT21" si="42">AQ19+AR19+AS19</f>
        <v>9</v>
      </c>
      <c r="AU19" s="43">
        <v>2</v>
      </c>
      <c r="AV19" s="43">
        <v>4</v>
      </c>
      <c r="AW19" s="43">
        <v>2</v>
      </c>
      <c r="AX19" s="42">
        <f t="shared" ref="AX19:AX21" si="43">AU19+AV19+AW19</f>
        <v>8</v>
      </c>
      <c r="AY19" s="43">
        <v>2</v>
      </c>
      <c r="AZ19" s="43">
        <v>3</v>
      </c>
      <c r="BA19" s="43">
        <v>2</v>
      </c>
      <c r="BB19" s="42">
        <f t="shared" ref="BB19:BB21" si="44">AY19+AZ19+BA19</f>
        <v>7</v>
      </c>
      <c r="BC19" s="43">
        <v>1</v>
      </c>
      <c r="BD19" s="43">
        <v>3</v>
      </c>
      <c r="BE19" s="43">
        <v>1</v>
      </c>
      <c r="BF19" s="42">
        <f t="shared" ref="BF19:BF21" si="45">BC19+BD19+BE19</f>
        <v>5</v>
      </c>
      <c r="BG19" s="43">
        <v>2</v>
      </c>
      <c r="BH19" s="43">
        <v>5</v>
      </c>
      <c r="BI19" s="43">
        <v>2</v>
      </c>
      <c r="BJ19" s="42">
        <f t="shared" ref="BJ19:BJ21" si="46">BG19+BH19+BI19</f>
        <v>9</v>
      </c>
      <c r="BK19" s="42">
        <f t="shared" ref="BK19:BK21" si="47">SUM(F19,J19,N19,R19,V19,Z19,AD19,AH19,AL19,AP19,AT19,AX19,BB19,BF19,BJ19)</f>
        <v>122</v>
      </c>
      <c r="BL19" s="44"/>
      <c r="BM19" s="77"/>
      <c r="BN19" s="79">
        <f t="shared" si="16"/>
        <v>40.666666666666664</v>
      </c>
      <c r="BO19" s="134">
        <v>41</v>
      </c>
    </row>
    <row r="20" spans="1:67" ht="21" customHeight="1">
      <c r="A20" s="125" t="s">
        <v>26</v>
      </c>
      <c r="B20" s="117" t="s">
        <v>182</v>
      </c>
      <c r="C20" s="42">
        <v>2</v>
      </c>
      <c r="D20" s="42">
        <v>5</v>
      </c>
      <c r="E20" s="42">
        <v>2</v>
      </c>
      <c r="F20" s="42">
        <f t="shared" si="32"/>
        <v>9</v>
      </c>
      <c r="G20" s="43">
        <v>2</v>
      </c>
      <c r="H20" s="43">
        <v>2</v>
      </c>
      <c r="I20" s="43">
        <v>2</v>
      </c>
      <c r="J20" s="42">
        <f t="shared" si="33"/>
        <v>6</v>
      </c>
      <c r="K20" s="43">
        <v>2</v>
      </c>
      <c r="L20" s="43">
        <v>2</v>
      </c>
      <c r="M20" s="43">
        <v>2</v>
      </c>
      <c r="N20" s="42">
        <f t="shared" si="34"/>
        <v>6</v>
      </c>
      <c r="O20" s="43">
        <v>2</v>
      </c>
      <c r="P20" s="43">
        <v>4</v>
      </c>
      <c r="Q20" s="43">
        <v>2</v>
      </c>
      <c r="R20" s="42">
        <f t="shared" si="35"/>
        <v>8</v>
      </c>
      <c r="S20" s="43">
        <v>2</v>
      </c>
      <c r="T20" s="43">
        <v>6</v>
      </c>
      <c r="U20" s="43">
        <v>2</v>
      </c>
      <c r="V20" s="42">
        <f t="shared" si="36"/>
        <v>10</v>
      </c>
      <c r="W20" s="43">
        <v>2</v>
      </c>
      <c r="X20" s="43">
        <v>2</v>
      </c>
      <c r="Y20" s="43">
        <v>2</v>
      </c>
      <c r="Z20" s="42">
        <f t="shared" si="37"/>
        <v>6</v>
      </c>
      <c r="AA20" s="43">
        <v>2</v>
      </c>
      <c r="AB20" s="43">
        <v>5</v>
      </c>
      <c r="AC20" s="43">
        <v>2</v>
      </c>
      <c r="AD20" s="42">
        <f t="shared" si="38"/>
        <v>9</v>
      </c>
      <c r="AE20" s="43">
        <v>2</v>
      </c>
      <c r="AF20" s="43">
        <v>6</v>
      </c>
      <c r="AG20" s="43">
        <v>2</v>
      </c>
      <c r="AH20" s="42">
        <f t="shared" si="39"/>
        <v>10</v>
      </c>
      <c r="AI20" s="43">
        <v>2</v>
      </c>
      <c r="AJ20" s="43">
        <v>6</v>
      </c>
      <c r="AK20" s="43">
        <v>2</v>
      </c>
      <c r="AL20" s="42">
        <f t="shared" si="40"/>
        <v>10</v>
      </c>
      <c r="AM20" s="43">
        <v>2</v>
      </c>
      <c r="AN20" s="43">
        <v>6</v>
      </c>
      <c r="AO20" s="43">
        <v>2</v>
      </c>
      <c r="AP20" s="42">
        <f t="shared" si="41"/>
        <v>10</v>
      </c>
      <c r="AQ20" s="43">
        <v>2</v>
      </c>
      <c r="AR20" s="43">
        <v>5</v>
      </c>
      <c r="AS20" s="43">
        <v>2</v>
      </c>
      <c r="AT20" s="42">
        <f t="shared" si="42"/>
        <v>9</v>
      </c>
      <c r="AU20" s="43">
        <v>2</v>
      </c>
      <c r="AV20" s="43">
        <v>4</v>
      </c>
      <c r="AW20" s="43">
        <v>2</v>
      </c>
      <c r="AX20" s="42">
        <f t="shared" si="43"/>
        <v>8</v>
      </c>
      <c r="AY20" s="43">
        <v>2</v>
      </c>
      <c r="AZ20" s="43">
        <v>3</v>
      </c>
      <c r="BA20" s="43">
        <v>2</v>
      </c>
      <c r="BB20" s="42">
        <f t="shared" si="44"/>
        <v>7</v>
      </c>
      <c r="BC20" s="43">
        <v>2</v>
      </c>
      <c r="BD20" s="43">
        <v>4</v>
      </c>
      <c r="BE20" s="43">
        <v>2</v>
      </c>
      <c r="BF20" s="42">
        <f t="shared" si="45"/>
        <v>8</v>
      </c>
      <c r="BG20" s="43">
        <v>2</v>
      </c>
      <c r="BH20" s="43">
        <v>5</v>
      </c>
      <c r="BI20" s="43">
        <v>2</v>
      </c>
      <c r="BJ20" s="42">
        <f t="shared" si="46"/>
        <v>9</v>
      </c>
      <c r="BK20" s="42">
        <f t="shared" si="47"/>
        <v>125</v>
      </c>
      <c r="BL20" s="44"/>
      <c r="BM20" s="77"/>
      <c r="BN20" s="79">
        <f t="shared" ref="BN20:BN21" si="48">(BK20/150)*50</f>
        <v>41.666666666666671</v>
      </c>
      <c r="BO20" s="134">
        <v>42</v>
      </c>
    </row>
    <row r="21" spans="1:67" ht="21" customHeight="1">
      <c r="A21" s="125" t="s">
        <v>28</v>
      </c>
      <c r="B21" s="117" t="s">
        <v>182</v>
      </c>
      <c r="C21" s="42">
        <v>2</v>
      </c>
      <c r="D21" s="42">
        <v>5</v>
      </c>
      <c r="E21" s="42">
        <v>2</v>
      </c>
      <c r="F21" s="42">
        <f t="shared" si="32"/>
        <v>9</v>
      </c>
      <c r="G21" s="43">
        <v>2</v>
      </c>
      <c r="H21" s="43">
        <v>2</v>
      </c>
      <c r="I21" s="43">
        <v>2</v>
      </c>
      <c r="J21" s="42">
        <f t="shared" si="33"/>
        <v>6</v>
      </c>
      <c r="K21" s="43">
        <v>2</v>
      </c>
      <c r="L21" s="43">
        <v>2</v>
      </c>
      <c r="M21" s="43">
        <v>2</v>
      </c>
      <c r="N21" s="42">
        <f t="shared" si="34"/>
        <v>6</v>
      </c>
      <c r="O21" s="43">
        <v>2</v>
      </c>
      <c r="P21" s="43">
        <v>4</v>
      </c>
      <c r="Q21" s="43">
        <v>2</v>
      </c>
      <c r="R21" s="42">
        <f t="shared" si="35"/>
        <v>8</v>
      </c>
      <c r="S21" s="43">
        <v>2</v>
      </c>
      <c r="T21" s="43">
        <v>6</v>
      </c>
      <c r="U21" s="43">
        <v>2</v>
      </c>
      <c r="V21" s="42">
        <f t="shared" si="36"/>
        <v>10</v>
      </c>
      <c r="W21" s="43">
        <v>2</v>
      </c>
      <c r="X21" s="43">
        <v>2</v>
      </c>
      <c r="Y21" s="43">
        <v>2</v>
      </c>
      <c r="Z21" s="42">
        <f t="shared" si="37"/>
        <v>6</v>
      </c>
      <c r="AA21" s="43">
        <v>2</v>
      </c>
      <c r="AB21" s="43">
        <v>5</v>
      </c>
      <c r="AC21" s="43">
        <v>2</v>
      </c>
      <c r="AD21" s="42">
        <f t="shared" si="38"/>
        <v>9</v>
      </c>
      <c r="AE21" s="43">
        <v>2</v>
      </c>
      <c r="AF21" s="43">
        <v>6</v>
      </c>
      <c r="AG21" s="43">
        <v>2</v>
      </c>
      <c r="AH21" s="42">
        <f t="shared" si="39"/>
        <v>10</v>
      </c>
      <c r="AI21" s="43">
        <v>2</v>
      </c>
      <c r="AJ21" s="43">
        <v>4</v>
      </c>
      <c r="AK21" s="43">
        <v>2</v>
      </c>
      <c r="AL21" s="42">
        <f t="shared" si="40"/>
        <v>8</v>
      </c>
      <c r="AM21" s="43">
        <v>2</v>
      </c>
      <c r="AN21" s="43">
        <v>6</v>
      </c>
      <c r="AO21" s="43">
        <v>2</v>
      </c>
      <c r="AP21" s="42">
        <f t="shared" si="41"/>
        <v>10</v>
      </c>
      <c r="AQ21" s="43">
        <v>2</v>
      </c>
      <c r="AR21" s="43">
        <v>5</v>
      </c>
      <c r="AS21" s="43">
        <v>2</v>
      </c>
      <c r="AT21" s="42">
        <f t="shared" si="42"/>
        <v>9</v>
      </c>
      <c r="AU21" s="43">
        <v>2</v>
      </c>
      <c r="AV21" s="43">
        <v>3</v>
      </c>
      <c r="AW21" s="43">
        <v>2</v>
      </c>
      <c r="AX21" s="42">
        <f t="shared" si="43"/>
        <v>7</v>
      </c>
      <c r="AY21" s="43">
        <v>2</v>
      </c>
      <c r="AZ21" s="43">
        <v>3</v>
      </c>
      <c r="BA21" s="43">
        <v>2</v>
      </c>
      <c r="BB21" s="42">
        <f t="shared" si="44"/>
        <v>7</v>
      </c>
      <c r="BC21" s="43">
        <v>1</v>
      </c>
      <c r="BD21" s="43">
        <v>2</v>
      </c>
      <c r="BE21" s="43">
        <v>1</v>
      </c>
      <c r="BF21" s="42">
        <f t="shared" si="45"/>
        <v>4</v>
      </c>
      <c r="BG21" s="43">
        <v>1</v>
      </c>
      <c r="BH21" s="43">
        <v>2</v>
      </c>
      <c r="BI21" s="43">
        <v>2</v>
      </c>
      <c r="BJ21" s="42">
        <f t="shared" si="46"/>
        <v>5</v>
      </c>
      <c r="BK21" s="42">
        <f t="shared" si="47"/>
        <v>114</v>
      </c>
      <c r="BL21" s="44"/>
      <c r="BM21" s="77"/>
      <c r="BN21" s="79">
        <f t="shared" si="48"/>
        <v>38</v>
      </c>
      <c r="BO21" s="134">
        <v>38</v>
      </c>
    </row>
    <row r="22" spans="1:67" ht="21" customHeight="1">
      <c r="A22" s="125" t="s">
        <v>29</v>
      </c>
      <c r="B22" s="117" t="s">
        <v>27</v>
      </c>
      <c r="C22" s="42">
        <v>1</v>
      </c>
      <c r="D22" s="42">
        <v>3</v>
      </c>
      <c r="E22" s="42">
        <v>1</v>
      </c>
      <c r="F22" s="42">
        <f t="shared" si="0"/>
        <v>5</v>
      </c>
      <c r="G22" s="43">
        <v>2</v>
      </c>
      <c r="H22" s="43">
        <v>2</v>
      </c>
      <c r="I22" s="43">
        <v>2</v>
      </c>
      <c r="J22" s="42">
        <f t="shared" si="1"/>
        <v>6</v>
      </c>
      <c r="K22" s="43">
        <v>2</v>
      </c>
      <c r="L22" s="43">
        <v>2</v>
      </c>
      <c r="M22" s="43">
        <v>2</v>
      </c>
      <c r="N22" s="42">
        <f t="shared" si="2"/>
        <v>6</v>
      </c>
      <c r="O22" s="43">
        <v>1</v>
      </c>
      <c r="P22" s="43">
        <v>3</v>
      </c>
      <c r="Q22" s="43">
        <v>1</v>
      </c>
      <c r="R22" s="42">
        <f t="shared" si="3"/>
        <v>5</v>
      </c>
      <c r="S22" s="43">
        <v>2</v>
      </c>
      <c r="T22" s="43">
        <v>3</v>
      </c>
      <c r="U22" s="43">
        <v>2</v>
      </c>
      <c r="V22" s="42">
        <f t="shared" si="4"/>
        <v>7</v>
      </c>
      <c r="W22" s="43">
        <v>2</v>
      </c>
      <c r="X22" s="43">
        <v>2</v>
      </c>
      <c r="Y22" s="43">
        <v>2</v>
      </c>
      <c r="Z22" s="42">
        <f t="shared" si="5"/>
        <v>6</v>
      </c>
      <c r="AA22" s="43">
        <v>2</v>
      </c>
      <c r="AB22" s="43">
        <v>5</v>
      </c>
      <c r="AC22" s="43">
        <v>2</v>
      </c>
      <c r="AD22" s="42">
        <f t="shared" si="6"/>
        <v>9</v>
      </c>
      <c r="AE22" s="43">
        <v>1</v>
      </c>
      <c r="AF22" s="43">
        <v>2</v>
      </c>
      <c r="AG22" s="43">
        <v>1</v>
      </c>
      <c r="AH22" s="42">
        <f t="shared" si="7"/>
        <v>4</v>
      </c>
      <c r="AI22" s="43">
        <v>2</v>
      </c>
      <c r="AJ22" s="43">
        <v>2</v>
      </c>
      <c r="AK22" s="43">
        <v>2</v>
      </c>
      <c r="AL22" s="42">
        <f t="shared" si="8"/>
        <v>6</v>
      </c>
      <c r="AM22" s="43">
        <v>2</v>
      </c>
      <c r="AN22" s="43">
        <v>3</v>
      </c>
      <c r="AO22" s="43">
        <v>2</v>
      </c>
      <c r="AP22" s="42">
        <f t="shared" si="9"/>
        <v>7</v>
      </c>
      <c r="AQ22" s="43">
        <v>1</v>
      </c>
      <c r="AR22" s="43">
        <v>3</v>
      </c>
      <c r="AS22" s="43">
        <v>2</v>
      </c>
      <c r="AT22" s="42">
        <f t="shared" si="10"/>
        <v>6</v>
      </c>
      <c r="AU22" s="43">
        <v>1</v>
      </c>
      <c r="AV22" s="43">
        <v>3</v>
      </c>
      <c r="AW22" s="43">
        <v>2</v>
      </c>
      <c r="AX22" s="42">
        <f t="shared" si="11"/>
        <v>6</v>
      </c>
      <c r="AY22" s="43">
        <v>1</v>
      </c>
      <c r="AZ22" s="43">
        <v>4</v>
      </c>
      <c r="BA22" s="43">
        <v>2</v>
      </c>
      <c r="BB22" s="42">
        <f t="shared" si="12"/>
        <v>7</v>
      </c>
      <c r="BC22" s="43">
        <v>1</v>
      </c>
      <c r="BD22" s="43">
        <v>3</v>
      </c>
      <c r="BE22" s="43">
        <v>2</v>
      </c>
      <c r="BF22" s="42">
        <f t="shared" si="13"/>
        <v>6</v>
      </c>
      <c r="BG22" s="43">
        <v>1</v>
      </c>
      <c r="BH22" s="43">
        <v>3</v>
      </c>
      <c r="BI22" s="43">
        <v>1</v>
      </c>
      <c r="BJ22" s="42">
        <f t="shared" si="14"/>
        <v>5</v>
      </c>
      <c r="BK22" s="42">
        <f t="shared" si="15"/>
        <v>91</v>
      </c>
      <c r="BL22" s="44"/>
      <c r="BM22" s="77"/>
      <c r="BN22" s="79">
        <f t="shared" si="16"/>
        <v>30.333333333333336</v>
      </c>
      <c r="BO22" s="134">
        <v>30</v>
      </c>
    </row>
    <row r="23" spans="1:67" ht="21" customHeight="1">
      <c r="A23" s="115" t="s">
        <v>30</v>
      </c>
      <c r="B23" s="139" t="s">
        <v>186</v>
      </c>
      <c r="C23" s="42">
        <v>2</v>
      </c>
      <c r="D23" s="42">
        <v>3</v>
      </c>
      <c r="E23" s="42">
        <v>2</v>
      </c>
      <c r="F23" s="42">
        <f t="shared" si="0"/>
        <v>7</v>
      </c>
      <c r="G23" s="43">
        <v>2</v>
      </c>
      <c r="H23" s="43">
        <v>2</v>
      </c>
      <c r="I23" s="43">
        <v>2</v>
      </c>
      <c r="J23" s="42">
        <f t="shared" si="1"/>
        <v>6</v>
      </c>
      <c r="K23" s="43">
        <v>2</v>
      </c>
      <c r="L23" s="43">
        <v>2</v>
      </c>
      <c r="M23" s="43">
        <v>2</v>
      </c>
      <c r="N23" s="42">
        <f t="shared" si="2"/>
        <v>6</v>
      </c>
      <c r="O23" s="43">
        <v>2</v>
      </c>
      <c r="P23" s="43">
        <v>6</v>
      </c>
      <c r="Q23" s="43">
        <v>2</v>
      </c>
      <c r="R23" s="42">
        <f t="shared" si="3"/>
        <v>10</v>
      </c>
      <c r="S23" s="43">
        <v>2</v>
      </c>
      <c r="T23" s="43">
        <v>6</v>
      </c>
      <c r="U23" s="43">
        <v>2</v>
      </c>
      <c r="V23" s="42">
        <f t="shared" si="4"/>
        <v>10</v>
      </c>
      <c r="W23" s="43">
        <v>2</v>
      </c>
      <c r="X23" s="43">
        <v>2</v>
      </c>
      <c r="Y23" s="43">
        <v>2</v>
      </c>
      <c r="Z23" s="42">
        <f t="shared" si="5"/>
        <v>6</v>
      </c>
      <c r="AA23" s="43">
        <v>2</v>
      </c>
      <c r="AB23" s="43">
        <v>6</v>
      </c>
      <c r="AC23" s="43">
        <v>2</v>
      </c>
      <c r="AD23" s="42">
        <f t="shared" si="6"/>
        <v>10</v>
      </c>
      <c r="AE23" s="43">
        <v>2</v>
      </c>
      <c r="AF23" s="43">
        <v>6</v>
      </c>
      <c r="AG23" s="43">
        <v>2</v>
      </c>
      <c r="AH23" s="42">
        <f t="shared" si="7"/>
        <v>10</v>
      </c>
      <c r="AI23" s="43">
        <v>2</v>
      </c>
      <c r="AJ23" s="43">
        <v>6</v>
      </c>
      <c r="AK23" s="43">
        <v>2</v>
      </c>
      <c r="AL23" s="42">
        <f t="shared" si="8"/>
        <v>10</v>
      </c>
      <c r="AM23" s="43">
        <v>2</v>
      </c>
      <c r="AN23" s="43">
        <v>6</v>
      </c>
      <c r="AO23" s="43">
        <v>2</v>
      </c>
      <c r="AP23" s="42">
        <f t="shared" si="9"/>
        <v>10</v>
      </c>
      <c r="AQ23" s="43">
        <v>2</v>
      </c>
      <c r="AR23" s="43">
        <v>6</v>
      </c>
      <c r="AS23" s="43">
        <v>2</v>
      </c>
      <c r="AT23" s="42">
        <f t="shared" si="10"/>
        <v>10</v>
      </c>
      <c r="AU23" s="43">
        <v>2</v>
      </c>
      <c r="AV23" s="43">
        <v>6</v>
      </c>
      <c r="AW23" s="43">
        <v>2</v>
      </c>
      <c r="AX23" s="42">
        <f t="shared" si="11"/>
        <v>10</v>
      </c>
      <c r="AY23" s="43">
        <v>2</v>
      </c>
      <c r="AZ23" s="43">
        <v>6</v>
      </c>
      <c r="BA23" s="43">
        <v>2</v>
      </c>
      <c r="BB23" s="42">
        <f t="shared" si="12"/>
        <v>10</v>
      </c>
      <c r="BC23" s="43">
        <v>1</v>
      </c>
      <c r="BD23" s="43">
        <v>4</v>
      </c>
      <c r="BE23" s="43">
        <v>1</v>
      </c>
      <c r="BF23" s="42">
        <f t="shared" si="13"/>
        <v>6</v>
      </c>
      <c r="BG23" s="43">
        <v>2</v>
      </c>
      <c r="BH23" s="43">
        <v>6</v>
      </c>
      <c r="BI23" s="43">
        <v>2</v>
      </c>
      <c r="BJ23" s="42">
        <f t="shared" si="14"/>
        <v>10</v>
      </c>
      <c r="BK23" s="42">
        <f t="shared" si="15"/>
        <v>131</v>
      </c>
      <c r="BL23" s="44"/>
      <c r="BM23" s="77"/>
      <c r="BN23" s="79">
        <f t="shared" si="16"/>
        <v>43.666666666666664</v>
      </c>
      <c r="BO23" s="136">
        <v>44</v>
      </c>
    </row>
    <row r="24" spans="1:67" ht="21" customHeight="1">
      <c r="A24" s="115" t="s">
        <v>31</v>
      </c>
      <c r="B24" s="139" t="s">
        <v>187</v>
      </c>
      <c r="C24" s="42">
        <v>2</v>
      </c>
      <c r="D24" s="42">
        <v>3</v>
      </c>
      <c r="E24" s="42">
        <v>2</v>
      </c>
      <c r="F24" s="42">
        <f t="shared" si="0"/>
        <v>7</v>
      </c>
      <c r="G24" s="43">
        <v>2</v>
      </c>
      <c r="H24" s="43">
        <v>2</v>
      </c>
      <c r="I24" s="43">
        <v>2</v>
      </c>
      <c r="J24" s="42">
        <f t="shared" si="1"/>
        <v>6</v>
      </c>
      <c r="K24" s="43">
        <v>2</v>
      </c>
      <c r="L24" s="43">
        <v>4</v>
      </c>
      <c r="M24" s="43">
        <v>2</v>
      </c>
      <c r="N24" s="42">
        <f t="shared" si="2"/>
        <v>8</v>
      </c>
      <c r="O24" s="43">
        <v>2</v>
      </c>
      <c r="P24" s="43">
        <v>4</v>
      </c>
      <c r="Q24" s="43">
        <v>2</v>
      </c>
      <c r="R24" s="42">
        <f t="shared" si="3"/>
        <v>8</v>
      </c>
      <c r="S24" s="43">
        <v>2</v>
      </c>
      <c r="T24" s="43">
        <v>6</v>
      </c>
      <c r="U24" s="43">
        <v>2</v>
      </c>
      <c r="V24" s="42">
        <f t="shared" si="4"/>
        <v>10</v>
      </c>
      <c r="W24" s="43">
        <v>2</v>
      </c>
      <c r="X24" s="43">
        <v>2</v>
      </c>
      <c r="Y24" s="43">
        <v>2</v>
      </c>
      <c r="Z24" s="42">
        <f t="shared" si="5"/>
        <v>6</v>
      </c>
      <c r="AA24" s="43">
        <v>2</v>
      </c>
      <c r="AB24" s="43">
        <v>5</v>
      </c>
      <c r="AC24" s="43">
        <v>2</v>
      </c>
      <c r="AD24" s="42">
        <f t="shared" si="6"/>
        <v>9</v>
      </c>
      <c r="AE24" s="43">
        <v>2</v>
      </c>
      <c r="AF24" s="43">
        <v>5</v>
      </c>
      <c r="AG24" s="43">
        <v>2</v>
      </c>
      <c r="AH24" s="42">
        <f t="shared" si="7"/>
        <v>9</v>
      </c>
      <c r="AI24" s="43">
        <v>2</v>
      </c>
      <c r="AJ24" s="43">
        <v>5</v>
      </c>
      <c r="AK24" s="43">
        <v>2</v>
      </c>
      <c r="AL24" s="42">
        <f t="shared" si="8"/>
        <v>9</v>
      </c>
      <c r="AM24" s="43">
        <v>2</v>
      </c>
      <c r="AN24" s="43">
        <v>4</v>
      </c>
      <c r="AO24" s="43">
        <v>2</v>
      </c>
      <c r="AP24" s="42">
        <f t="shared" si="9"/>
        <v>8</v>
      </c>
      <c r="AQ24" s="43">
        <v>2</v>
      </c>
      <c r="AR24" s="43">
        <v>4</v>
      </c>
      <c r="AS24" s="43">
        <v>2</v>
      </c>
      <c r="AT24" s="42">
        <f t="shared" si="10"/>
        <v>8</v>
      </c>
      <c r="AU24" s="43">
        <v>2</v>
      </c>
      <c r="AV24" s="43">
        <v>5</v>
      </c>
      <c r="AW24" s="43">
        <v>2</v>
      </c>
      <c r="AX24" s="42">
        <f t="shared" si="11"/>
        <v>9</v>
      </c>
      <c r="AY24" s="43">
        <v>2</v>
      </c>
      <c r="AZ24" s="43">
        <v>4</v>
      </c>
      <c r="BA24" s="43">
        <v>2</v>
      </c>
      <c r="BB24" s="42">
        <f t="shared" si="12"/>
        <v>8</v>
      </c>
      <c r="BC24" s="43">
        <v>2</v>
      </c>
      <c r="BD24" s="43">
        <v>4</v>
      </c>
      <c r="BE24" s="43">
        <v>2</v>
      </c>
      <c r="BF24" s="42">
        <f t="shared" si="13"/>
        <v>8</v>
      </c>
      <c r="BG24" s="43">
        <v>2</v>
      </c>
      <c r="BH24" s="43">
        <v>4</v>
      </c>
      <c r="BI24" s="43">
        <v>2</v>
      </c>
      <c r="BJ24" s="42">
        <f t="shared" si="14"/>
        <v>8</v>
      </c>
      <c r="BK24" s="42">
        <f t="shared" si="15"/>
        <v>121</v>
      </c>
      <c r="BL24" s="44"/>
      <c r="BM24" s="77"/>
      <c r="BN24" s="79">
        <f t="shared" si="16"/>
        <v>40.333333333333329</v>
      </c>
      <c r="BO24" s="136">
        <v>40</v>
      </c>
    </row>
    <row r="25" spans="1:67" ht="21" customHeight="1">
      <c r="A25" s="140" t="s">
        <v>32</v>
      </c>
      <c r="B25" s="141" t="s">
        <v>188</v>
      </c>
      <c r="C25" s="42">
        <v>2</v>
      </c>
      <c r="D25" s="42">
        <v>3</v>
      </c>
      <c r="E25" s="42">
        <v>2</v>
      </c>
      <c r="F25" s="42">
        <f t="shared" si="0"/>
        <v>7</v>
      </c>
      <c r="G25" s="43">
        <v>2</v>
      </c>
      <c r="H25" s="43">
        <v>2</v>
      </c>
      <c r="I25" s="43">
        <v>2</v>
      </c>
      <c r="J25" s="42">
        <f t="shared" si="1"/>
        <v>6</v>
      </c>
      <c r="K25" s="43">
        <v>2</v>
      </c>
      <c r="L25" s="43">
        <v>2</v>
      </c>
      <c r="M25" s="43">
        <v>2</v>
      </c>
      <c r="N25" s="42">
        <f t="shared" si="2"/>
        <v>6</v>
      </c>
      <c r="O25" s="43">
        <v>2</v>
      </c>
      <c r="P25" s="43">
        <v>2</v>
      </c>
      <c r="Q25" s="43">
        <v>2</v>
      </c>
      <c r="R25" s="42">
        <f t="shared" si="3"/>
        <v>6</v>
      </c>
      <c r="S25" s="43">
        <v>2</v>
      </c>
      <c r="T25" s="43">
        <v>2</v>
      </c>
      <c r="U25" s="43">
        <v>2</v>
      </c>
      <c r="V25" s="42">
        <f t="shared" si="4"/>
        <v>6</v>
      </c>
      <c r="W25" s="43">
        <v>2</v>
      </c>
      <c r="X25" s="43">
        <v>2</v>
      </c>
      <c r="Y25" s="43">
        <v>2</v>
      </c>
      <c r="Z25" s="42">
        <f t="shared" si="5"/>
        <v>6</v>
      </c>
      <c r="AA25" s="43">
        <v>2</v>
      </c>
      <c r="AB25" s="43">
        <v>4</v>
      </c>
      <c r="AC25" s="43">
        <v>2</v>
      </c>
      <c r="AD25" s="42">
        <f t="shared" si="6"/>
        <v>8</v>
      </c>
      <c r="AE25" s="43">
        <v>2</v>
      </c>
      <c r="AF25" s="43">
        <v>6</v>
      </c>
      <c r="AG25" s="43">
        <v>2</v>
      </c>
      <c r="AH25" s="42">
        <f t="shared" si="7"/>
        <v>10</v>
      </c>
      <c r="AI25" s="43">
        <v>2</v>
      </c>
      <c r="AJ25" s="43">
        <v>2</v>
      </c>
      <c r="AK25" s="43">
        <v>2</v>
      </c>
      <c r="AL25" s="42">
        <f t="shared" si="8"/>
        <v>6</v>
      </c>
      <c r="AM25" s="43">
        <v>2</v>
      </c>
      <c r="AN25" s="43">
        <v>6</v>
      </c>
      <c r="AO25" s="43">
        <v>2</v>
      </c>
      <c r="AP25" s="42">
        <f t="shared" si="9"/>
        <v>10</v>
      </c>
      <c r="AQ25" s="43">
        <v>2</v>
      </c>
      <c r="AR25" s="43">
        <v>6</v>
      </c>
      <c r="AS25" s="43">
        <v>2</v>
      </c>
      <c r="AT25" s="42">
        <f t="shared" si="10"/>
        <v>10</v>
      </c>
      <c r="AU25" s="43">
        <v>2</v>
      </c>
      <c r="AV25" s="43">
        <v>6</v>
      </c>
      <c r="AW25" s="43">
        <v>2</v>
      </c>
      <c r="AX25" s="42">
        <f t="shared" si="11"/>
        <v>10</v>
      </c>
      <c r="AY25" s="43">
        <v>2</v>
      </c>
      <c r="AZ25" s="43">
        <v>6</v>
      </c>
      <c r="BA25" s="43">
        <v>2</v>
      </c>
      <c r="BB25" s="42">
        <f t="shared" si="12"/>
        <v>10</v>
      </c>
      <c r="BC25" s="43">
        <v>2</v>
      </c>
      <c r="BD25" s="43">
        <v>6</v>
      </c>
      <c r="BE25" s="43">
        <v>2</v>
      </c>
      <c r="BF25" s="42">
        <f t="shared" si="13"/>
        <v>10</v>
      </c>
      <c r="BG25" s="43">
        <v>2</v>
      </c>
      <c r="BH25" s="43">
        <v>6</v>
      </c>
      <c r="BI25" s="43">
        <v>2</v>
      </c>
      <c r="BJ25" s="42">
        <f t="shared" si="14"/>
        <v>10</v>
      </c>
      <c r="BK25" s="42">
        <f t="shared" si="15"/>
        <v>121</v>
      </c>
      <c r="BL25" s="44"/>
      <c r="BM25" s="77"/>
      <c r="BN25" s="79">
        <f t="shared" si="16"/>
        <v>40.333333333333329</v>
      </c>
      <c r="BO25" s="134">
        <v>40</v>
      </c>
    </row>
    <row r="26" spans="1:67" ht="21" customHeight="1">
      <c r="A26" s="125" t="s">
        <v>33</v>
      </c>
      <c r="B26" s="117" t="s">
        <v>189</v>
      </c>
      <c r="C26" s="42">
        <v>2</v>
      </c>
      <c r="D26" s="42">
        <v>3</v>
      </c>
      <c r="E26" s="42">
        <v>2</v>
      </c>
      <c r="F26" s="42">
        <f t="shared" si="0"/>
        <v>7</v>
      </c>
      <c r="G26" s="43">
        <v>2</v>
      </c>
      <c r="H26" s="43">
        <v>2</v>
      </c>
      <c r="I26" s="43">
        <v>2</v>
      </c>
      <c r="J26" s="42">
        <f t="shared" si="1"/>
        <v>6</v>
      </c>
      <c r="K26" s="43">
        <v>2</v>
      </c>
      <c r="L26" s="43">
        <v>2</v>
      </c>
      <c r="M26" s="43">
        <v>2</v>
      </c>
      <c r="N26" s="42">
        <f t="shared" si="2"/>
        <v>6</v>
      </c>
      <c r="O26" s="43">
        <v>2</v>
      </c>
      <c r="P26" s="43">
        <v>4</v>
      </c>
      <c r="Q26" s="43">
        <v>2</v>
      </c>
      <c r="R26" s="42">
        <f t="shared" si="3"/>
        <v>8</v>
      </c>
      <c r="S26" s="43">
        <v>2</v>
      </c>
      <c r="T26" s="43">
        <v>6</v>
      </c>
      <c r="U26" s="43">
        <v>2</v>
      </c>
      <c r="V26" s="42">
        <f t="shared" si="4"/>
        <v>10</v>
      </c>
      <c r="W26" s="43">
        <v>2</v>
      </c>
      <c r="X26" s="43">
        <v>2</v>
      </c>
      <c r="Y26" s="43">
        <v>2</v>
      </c>
      <c r="Z26" s="42">
        <f t="shared" si="5"/>
        <v>6</v>
      </c>
      <c r="AA26" s="43">
        <v>2</v>
      </c>
      <c r="AB26" s="43">
        <v>5</v>
      </c>
      <c r="AC26" s="43">
        <v>2</v>
      </c>
      <c r="AD26" s="42">
        <f t="shared" si="6"/>
        <v>9</v>
      </c>
      <c r="AE26" s="43">
        <v>2</v>
      </c>
      <c r="AF26" s="43">
        <v>4</v>
      </c>
      <c r="AG26" s="43">
        <v>2</v>
      </c>
      <c r="AH26" s="42">
        <f t="shared" si="7"/>
        <v>8</v>
      </c>
      <c r="AI26" s="43">
        <v>2</v>
      </c>
      <c r="AJ26" s="43">
        <v>5</v>
      </c>
      <c r="AK26" s="43">
        <v>2</v>
      </c>
      <c r="AL26" s="42">
        <f t="shared" si="8"/>
        <v>9</v>
      </c>
      <c r="AM26" s="43">
        <v>2</v>
      </c>
      <c r="AN26" s="43">
        <v>6</v>
      </c>
      <c r="AO26" s="43">
        <v>2</v>
      </c>
      <c r="AP26" s="42">
        <f t="shared" si="9"/>
        <v>10</v>
      </c>
      <c r="AQ26" s="43">
        <v>2</v>
      </c>
      <c r="AR26" s="43">
        <v>3</v>
      </c>
      <c r="AS26" s="43">
        <v>2</v>
      </c>
      <c r="AT26" s="42">
        <f t="shared" si="10"/>
        <v>7</v>
      </c>
      <c r="AU26" s="43">
        <v>2</v>
      </c>
      <c r="AV26" s="43">
        <v>6</v>
      </c>
      <c r="AW26" s="43">
        <v>2</v>
      </c>
      <c r="AX26" s="42">
        <f t="shared" si="11"/>
        <v>10</v>
      </c>
      <c r="AY26" s="43">
        <v>2</v>
      </c>
      <c r="AZ26" s="43">
        <v>6</v>
      </c>
      <c r="BA26" s="43">
        <v>2</v>
      </c>
      <c r="BB26" s="42">
        <f t="shared" si="12"/>
        <v>10</v>
      </c>
      <c r="BC26" s="43">
        <v>2</v>
      </c>
      <c r="BD26" s="43">
        <v>3</v>
      </c>
      <c r="BE26" s="43">
        <v>2</v>
      </c>
      <c r="BF26" s="42">
        <f t="shared" si="13"/>
        <v>7</v>
      </c>
      <c r="BG26" s="43">
        <v>2</v>
      </c>
      <c r="BH26" s="43">
        <v>6</v>
      </c>
      <c r="BI26" s="43">
        <v>2</v>
      </c>
      <c r="BJ26" s="42">
        <f t="shared" si="14"/>
        <v>10</v>
      </c>
      <c r="BK26" s="42">
        <f t="shared" si="15"/>
        <v>123</v>
      </c>
      <c r="BL26" s="44"/>
      <c r="BM26" s="77"/>
      <c r="BN26" s="79">
        <f t="shared" si="16"/>
        <v>41</v>
      </c>
      <c r="BO26" s="134">
        <v>41</v>
      </c>
    </row>
    <row r="27" spans="1:67" ht="21" customHeight="1">
      <c r="A27" s="125" t="s">
        <v>34</v>
      </c>
      <c r="B27" s="117" t="s">
        <v>190</v>
      </c>
      <c r="C27" s="42">
        <v>2</v>
      </c>
      <c r="D27" s="42">
        <v>6</v>
      </c>
      <c r="E27" s="42">
        <v>2</v>
      </c>
      <c r="F27" s="42">
        <f t="shared" si="0"/>
        <v>10</v>
      </c>
      <c r="G27" s="43">
        <v>2</v>
      </c>
      <c r="H27" s="43">
        <v>6</v>
      </c>
      <c r="I27" s="43">
        <v>2</v>
      </c>
      <c r="J27" s="42">
        <f t="shared" si="1"/>
        <v>10</v>
      </c>
      <c r="K27" s="43">
        <v>2</v>
      </c>
      <c r="L27" s="43">
        <v>2</v>
      </c>
      <c r="M27" s="43">
        <v>2</v>
      </c>
      <c r="N27" s="42">
        <f t="shared" si="2"/>
        <v>6</v>
      </c>
      <c r="O27" s="43">
        <v>2</v>
      </c>
      <c r="P27" s="43">
        <v>5</v>
      </c>
      <c r="Q27" s="43">
        <v>2</v>
      </c>
      <c r="R27" s="42">
        <f t="shared" si="3"/>
        <v>9</v>
      </c>
      <c r="S27" s="43">
        <v>2</v>
      </c>
      <c r="T27" s="43">
        <v>4</v>
      </c>
      <c r="U27" s="43">
        <v>1</v>
      </c>
      <c r="V27" s="42">
        <f t="shared" si="4"/>
        <v>7</v>
      </c>
      <c r="W27" s="43">
        <v>1</v>
      </c>
      <c r="X27" s="43">
        <v>2</v>
      </c>
      <c r="Y27" s="43">
        <v>2</v>
      </c>
      <c r="Z27" s="42">
        <f t="shared" si="5"/>
        <v>5</v>
      </c>
      <c r="AA27" s="43">
        <v>2</v>
      </c>
      <c r="AB27" s="43">
        <v>5</v>
      </c>
      <c r="AC27" s="43">
        <v>2</v>
      </c>
      <c r="AD27" s="42">
        <f t="shared" si="6"/>
        <v>9</v>
      </c>
      <c r="AE27" s="43">
        <v>1</v>
      </c>
      <c r="AF27" s="43">
        <v>4</v>
      </c>
      <c r="AG27" s="43">
        <v>1</v>
      </c>
      <c r="AH27" s="42">
        <f t="shared" si="7"/>
        <v>6</v>
      </c>
      <c r="AI27" s="43">
        <v>2</v>
      </c>
      <c r="AJ27" s="43">
        <v>4</v>
      </c>
      <c r="AK27" s="43">
        <v>2</v>
      </c>
      <c r="AL27" s="42">
        <f t="shared" si="8"/>
        <v>8</v>
      </c>
      <c r="AM27" s="43">
        <v>2</v>
      </c>
      <c r="AN27" s="43">
        <v>5</v>
      </c>
      <c r="AO27" s="43">
        <v>2</v>
      </c>
      <c r="AP27" s="42">
        <f t="shared" si="9"/>
        <v>9</v>
      </c>
      <c r="AQ27" s="43">
        <v>2</v>
      </c>
      <c r="AR27" s="43">
        <v>4</v>
      </c>
      <c r="AS27" s="43">
        <v>2</v>
      </c>
      <c r="AT27" s="42">
        <f t="shared" si="10"/>
        <v>8</v>
      </c>
      <c r="AU27" s="43">
        <v>2</v>
      </c>
      <c r="AV27" s="43">
        <v>3</v>
      </c>
      <c r="AW27" s="43">
        <v>2</v>
      </c>
      <c r="AX27" s="42">
        <f t="shared" si="11"/>
        <v>7</v>
      </c>
      <c r="AY27" s="43">
        <v>2</v>
      </c>
      <c r="AZ27" s="43">
        <v>5</v>
      </c>
      <c r="BA27" s="43">
        <v>2</v>
      </c>
      <c r="BB27" s="42">
        <f t="shared" si="12"/>
        <v>9</v>
      </c>
      <c r="BC27" s="43">
        <v>1</v>
      </c>
      <c r="BD27" s="43">
        <v>4</v>
      </c>
      <c r="BE27" s="43">
        <v>1</v>
      </c>
      <c r="BF27" s="42">
        <f t="shared" si="13"/>
        <v>6</v>
      </c>
      <c r="BG27" s="43">
        <v>1</v>
      </c>
      <c r="BH27" s="43">
        <v>6</v>
      </c>
      <c r="BI27" s="43">
        <v>1</v>
      </c>
      <c r="BJ27" s="42">
        <f t="shared" si="14"/>
        <v>8</v>
      </c>
      <c r="BK27" s="42">
        <f t="shared" si="15"/>
        <v>117</v>
      </c>
      <c r="BL27" s="44"/>
      <c r="BM27" s="77"/>
      <c r="BN27" s="79">
        <f t="shared" si="16"/>
        <v>39</v>
      </c>
      <c r="BO27" s="134">
        <v>39</v>
      </c>
    </row>
    <row r="28" spans="1:67" ht="21" customHeight="1">
      <c r="A28" s="125" t="s">
        <v>35</v>
      </c>
      <c r="B28" s="117" t="s">
        <v>191</v>
      </c>
      <c r="C28" s="42">
        <v>2</v>
      </c>
      <c r="D28" s="42">
        <v>3</v>
      </c>
      <c r="E28" s="42">
        <v>2</v>
      </c>
      <c r="F28" s="42">
        <f t="shared" si="0"/>
        <v>7</v>
      </c>
      <c r="G28" s="43">
        <v>2</v>
      </c>
      <c r="H28" s="43">
        <v>2</v>
      </c>
      <c r="I28" s="43">
        <v>2</v>
      </c>
      <c r="J28" s="42">
        <f t="shared" si="1"/>
        <v>6</v>
      </c>
      <c r="K28" s="43">
        <v>2</v>
      </c>
      <c r="L28" s="43">
        <v>2</v>
      </c>
      <c r="M28" s="43">
        <v>2</v>
      </c>
      <c r="N28" s="42">
        <f t="shared" si="2"/>
        <v>6</v>
      </c>
      <c r="O28" s="43">
        <v>2</v>
      </c>
      <c r="P28" s="43">
        <v>4</v>
      </c>
      <c r="Q28" s="43">
        <v>2</v>
      </c>
      <c r="R28" s="42">
        <f t="shared" si="3"/>
        <v>8</v>
      </c>
      <c r="S28" s="43">
        <v>2</v>
      </c>
      <c r="T28" s="43">
        <v>6</v>
      </c>
      <c r="U28" s="43">
        <v>2</v>
      </c>
      <c r="V28" s="42">
        <f t="shared" si="4"/>
        <v>10</v>
      </c>
      <c r="W28" s="43">
        <v>2</v>
      </c>
      <c r="X28" s="43">
        <v>2</v>
      </c>
      <c r="Y28" s="43">
        <v>2</v>
      </c>
      <c r="Z28" s="42">
        <f t="shared" si="5"/>
        <v>6</v>
      </c>
      <c r="AA28" s="43">
        <v>2</v>
      </c>
      <c r="AB28" s="43">
        <v>5</v>
      </c>
      <c r="AC28" s="43">
        <v>2</v>
      </c>
      <c r="AD28" s="42">
        <f t="shared" si="6"/>
        <v>9</v>
      </c>
      <c r="AE28" s="43">
        <v>2</v>
      </c>
      <c r="AF28" s="43">
        <v>5</v>
      </c>
      <c r="AG28" s="43">
        <v>2</v>
      </c>
      <c r="AH28" s="42">
        <f t="shared" si="7"/>
        <v>9</v>
      </c>
      <c r="AI28" s="43">
        <v>2</v>
      </c>
      <c r="AJ28" s="43">
        <v>5</v>
      </c>
      <c r="AK28" s="43">
        <v>2</v>
      </c>
      <c r="AL28" s="42">
        <f t="shared" si="8"/>
        <v>9</v>
      </c>
      <c r="AM28" s="43">
        <v>2</v>
      </c>
      <c r="AN28" s="43">
        <v>4</v>
      </c>
      <c r="AO28" s="43">
        <v>2</v>
      </c>
      <c r="AP28" s="42">
        <f t="shared" si="9"/>
        <v>8</v>
      </c>
      <c r="AQ28" s="43">
        <v>2</v>
      </c>
      <c r="AR28" s="43">
        <v>4</v>
      </c>
      <c r="AS28" s="43">
        <v>2</v>
      </c>
      <c r="AT28" s="42">
        <f t="shared" si="10"/>
        <v>8</v>
      </c>
      <c r="AU28" s="43">
        <v>2</v>
      </c>
      <c r="AV28" s="43">
        <v>4</v>
      </c>
      <c r="AW28" s="43">
        <v>2</v>
      </c>
      <c r="AX28" s="42">
        <f t="shared" si="11"/>
        <v>8</v>
      </c>
      <c r="AY28" s="43">
        <v>2</v>
      </c>
      <c r="AZ28" s="43">
        <v>4</v>
      </c>
      <c r="BA28" s="43">
        <v>2</v>
      </c>
      <c r="BB28" s="42">
        <f t="shared" si="12"/>
        <v>8</v>
      </c>
      <c r="BC28" s="43">
        <v>2</v>
      </c>
      <c r="BD28" s="43">
        <v>3</v>
      </c>
      <c r="BE28" s="43">
        <v>2</v>
      </c>
      <c r="BF28" s="42">
        <f t="shared" si="13"/>
        <v>7</v>
      </c>
      <c r="BG28" s="43">
        <v>1</v>
      </c>
      <c r="BH28" s="43">
        <v>6</v>
      </c>
      <c r="BI28" s="43">
        <v>2</v>
      </c>
      <c r="BJ28" s="42">
        <f t="shared" si="14"/>
        <v>9</v>
      </c>
      <c r="BK28" s="42">
        <f t="shared" si="15"/>
        <v>118</v>
      </c>
      <c r="BL28" s="45"/>
      <c r="BM28" s="78"/>
      <c r="BN28" s="79">
        <f t="shared" si="16"/>
        <v>39.333333333333329</v>
      </c>
      <c r="BO28" s="134">
        <v>39</v>
      </c>
    </row>
    <row r="29" spans="1:67" ht="21" customHeight="1">
      <c r="A29" s="125" t="s">
        <v>36</v>
      </c>
      <c r="B29" s="117" t="s">
        <v>192</v>
      </c>
      <c r="C29" s="42">
        <v>2</v>
      </c>
      <c r="D29" s="42">
        <v>5</v>
      </c>
      <c r="E29" s="42">
        <v>2</v>
      </c>
      <c r="F29" s="42">
        <f t="shared" si="0"/>
        <v>9</v>
      </c>
      <c r="G29" s="43">
        <v>2</v>
      </c>
      <c r="H29" s="43">
        <v>3</v>
      </c>
      <c r="I29" s="43">
        <v>2</v>
      </c>
      <c r="J29" s="42">
        <f t="shared" si="1"/>
        <v>7</v>
      </c>
      <c r="K29" s="43">
        <v>2</v>
      </c>
      <c r="L29" s="43">
        <v>5</v>
      </c>
      <c r="M29" s="43">
        <v>2</v>
      </c>
      <c r="N29" s="42">
        <f t="shared" si="2"/>
        <v>9</v>
      </c>
      <c r="O29" s="43">
        <v>2</v>
      </c>
      <c r="P29" s="43">
        <v>2</v>
      </c>
      <c r="Q29" s="43">
        <v>2</v>
      </c>
      <c r="R29" s="42">
        <f t="shared" si="3"/>
        <v>6</v>
      </c>
      <c r="S29" s="43">
        <v>2</v>
      </c>
      <c r="T29" s="43">
        <v>2</v>
      </c>
      <c r="U29" s="43">
        <v>2</v>
      </c>
      <c r="V29" s="42">
        <f t="shared" si="4"/>
        <v>6</v>
      </c>
      <c r="W29" s="43">
        <v>2</v>
      </c>
      <c r="X29" s="43">
        <v>2</v>
      </c>
      <c r="Y29" s="43">
        <v>2</v>
      </c>
      <c r="Z29" s="42">
        <f t="shared" si="5"/>
        <v>6</v>
      </c>
      <c r="AA29" s="43">
        <v>2</v>
      </c>
      <c r="AB29" s="43">
        <v>4</v>
      </c>
      <c r="AC29" s="43">
        <v>2</v>
      </c>
      <c r="AD29" s="42">
        <f t="shared" si="6"/>
        <v>8</v>
      </c>
      <c r="AE29" s="43">
        <v>2</v>
      </c>
      <c r="AF29" s="43">
        <v>3</v>
      </c>
      <c r="AG29" s="43">
        <v>2</v>
      </c>
      <c r="AH29" s="42">
        <f t="shared" si="7"/>
        <v>7</v>
      </c>
      <c r="AI29" s="43">
        <v>2</v>
      </c>
      <c r="AJ29" s="43">
        <v>2</v>
      </c>
      <c r="AK29" s="43">
        <v>2</v>
      </c>
      <c r="AL29" s="42">
        <f t="shared" si="8"/>
        <v>6</v>
      </c>
      <c r="AM29" s="43">
        <v>2</v>
      </c>
      <c r="AN29" s="43">
        <v>2</v>
      </c>
      <c r="AO29" s="43">
        <v>2</v>
      </c>
      <c r="AP29" s="42">
        <f t="shared" si="9"/>
        <v>6</v>
      </c>
      <c r="AQ29" s="43">
        <v>2</v>
      </c>
      <c r="AR29" s="43">
        <v>4</v>
      </c>
      <c r="AS29" s="43">
        <v>2</v>
      </c>
      <c r="AT29" s="42">
        <f t="shared" si="10"/>
        <v>8</v>
      </c>
      <c r="AU29" s="43">
        <v>2</v>
      </c>
      <c r="AV29" s="43">
        <v>6</v>
      </c>
      <c r="AW29" s="43">
        <v>2</v>
      </c>
      <c r="AX29" s="42">
        <f t="shared" si="11"/>
        <v>10</v>
      </c>
      <c r="AY29" s="43">
        <v>2</v>
      </c>
      <c r="AZ29" s="43">
        <v>2</v>
      </c>
      <c r="BA29" s="43">
        <v>2</v>
      </c>
      <c r="BB29" s="42">
        <f t="shared" si="12"/>
        <v>6</v>
      </c>
      <c r="BC29" s="43">
        <v>2</v>
      </c>
      <c r="BD29" s="43">
        <v>5</v>
      </c>
      <c r="BE29" s="43">
        <v>2</v>
      </c>
      <c r="BF29" s="42">
        <f t="shared" si="13"/>
        <v>9</v>
      </c>
      <c r="BG29" s="43">
        <v>2</v>
      </c>
      <c r="BH29" s="43">
        <v>6</v>
      </c>
      <c r="BI29" s="43">
        <v>2</v>
      </c>
      <c r="BJ29" s="42">
        <f t="shared" si="14"/>
        <v>10</v>
      </c>
      <c r="BK29" s="42">
        <f t="shared" si="15"/>
        <v>113</v>
      </c>
      <c r="BL29" s="44"/>
      <c r="BM29" s="77"/>
      <c r="BN29" s="79">
        <f t="shared" si="16"/>
        <v>37.666666666666664</v>
      </c>
      <c r="BO29" s="134">
        <v>38</v>
      </c>
    </row>
    <row r="30" spans="1:67" ht="21" customHeight="1">
      <c r="A30" s="125" t="s">
        <v>37</v>
      </c>
      <c r="B30" s="117" t="s">
        <v>193</v>
      </c>
      <c r="C30" s="42">
        <v>2</v>
      </c>
      <c r="D30" s="42">
        <v>5</v>
      </c>
      <c r="E30" s="42">
        <v>2</v>
      </c>
      <c r="F30" s="42">
        <f t="shared" si="0"/>
        <v>9</v>
      </c>
      <c r="G30" s="43">
        <v>2</v>
      </c>
      <c r="H30" s="43">
        <v>2</v>
      </c>
      <c r="I30" s="43">
        <v>2</v>
      </c>
      <c r="J30" s="42">
        <f t="shared" si="1"/>
        <v>6</v>
      </c>
      <c r="K30" s="43">
        <v>2</v>
      </c>
      <c r="L30" s="43">
        <v>2</v>
      </c>
      <c r="M30" s="43">
        <v>2</v>
      </c>
      <c r="N30" s="42">
        <f t="shared" si="2"/>
        <v>6</v>
      </c>
      <c r="O30" s="43">
        <v>2</v>
      </c>
      <c r="P30" s="43">
        <v>4</v>
      </c>
      <c r="Q30" s="43">
        <v>2</v>
      </c>
      <c r="R30" s="42">
        <f t="shared" si="3"/>
        <v>8</v>
      </c>
      <c r="S30" s="43">
        <v>2</v>
      </c>
      <c r="T30" s="43">
        <v>6</v>
      </c>
      <c r="U30" s="43">
        <v>2</v>
      </c>
      <c r="V30" s="42">
        <f t="shared" si="4"/>
        <v>10</v>
      </c>
      <c r="W30" s="43">
        <v>2</v>
      </c>
      <c r="X30" s="43">
        <v>4</v>
      </c>
      <c r="Y30" s="43">
        <v>2</v>
      </c>
      <c r="Z30" s="42">
        <f t="shared" si="5"/>
        <v>8</v>
      </c>
      <c r="AA30" s="43">
        <v>2</v>
      </c>
      <c r="AB30" s="43">
        <v>5</v>
      </c>
      <c r="AC30" s="43">
        <v>2</v>
      </c>
      <c r="AD30" s="42">
        <f t="shared" si="6"/>
        <v>9</v>
      </c>
      <c r="AE30" s="43">
        <v>2</v>
      </c>
      <c r="AF30" s="43">
        <v>6</v>
      </c>
      <c r="AG30" s="43">
        <v>2</v>
      </c>
      <c r="AH30" s="42">
        <f t="shared" si="7"/>
        <v>10</v>
      </c>
      <c r="AI30" s="43">
        <v>2</v>
      </c>
      <c r="AJ30" s="43">
        <v>6</v>
      </c>
      <c r="AK30" s="43">
        <v>2</v>
      </c>
      <c r="AL30" s="42">
        <f t="shared" si="8"/>
        <v>10</v>
      </c>
      <c r="AM30" s="43">
        <v>2</v>
      </c>
      <c r="AN30" s="43">
        <v>4</v>
      </c>
      <c r="AO30" s="43">
        <v>2</v>
      </c>
      <c r="AP30" s="42">
        <f t="shared" si="9"/>
        <v>8</v>
      </c>
      <c r="AQ30" s="43">
        <v>2</v>
      </c>
      <c r="AR30" s="43">
        <v>4</v>
      </c>
      <c r="AS30" s="43">
        <v>2</v>
      </c>
      <c r="AT30" s="42">
        <f t="shared" si="10"/>
        <v>8</v>
      </c>
      <c r="AU30" s="43">
        <v>2</v>
      </c>
      <c r="AV30" s="43">
        <v>5</v>
      </c>
      <c r="AW30" s="43">
        <v>2</v>
      </c>
      <c r="AX30" s="42">
        <f t="shared" si="11"/>
        <v>9</v>
      </c>
      <c r="AY30" s="43">
        <v>2</v>
      </c>
      <c r="AZ30" s="43">
        <v>5</v>
      </c>
      <c r="BA30" s="43">
        <v>2</v>
      </c>
      <c r="BB30" s="42">
        <f t="shared" si="12"/>
        <v>9</v>
      </c>
      <c r="BC30" s="43">
        <v>2</v>
      </c>
      <c r="BD30" s="43">
        <v>4</v>
      </c>
      <c r="BE30" s="43">
        <v>2</v>
      </c>
      <c r="BF30" s="42">
        <f t="shared" si="13"/>
        <v>8</v>
      </c>
      <c r="BG30" s="43">
        <v>2</v>
      </c>
      <c r="BH30" s="43">
        <v>4</v>
      </c>
      <c r="BI30" s="43">
        <v>2</v>
      </c>
      <c r="BJ30" s="42">
        <f t="shared" si="14"/>
        <v>8</v>
      </c>
      <c r="BK30" s="42">
        <f t="shared" si="15"/>
        <v>126</v>
      </c>
      <c r="BL30" s="44"/>
      <c r="BM30" s="77"/>
      <c r="BN30" s="79">
        <f t="shared" si="16"/>
        <v>42</v>
      </c>
      <c r="BO30" s="134">
        <v>42</v>
      </c>
    </row>
    <row r="31" spans="1:67" ht="21" customHeight="1">
      <c r="A31" s="125" t="s">
        <v>38</v>
      </c>
      <c r="B31" s="117" t="s">
        <v>194</v>
      </c>
      <c r="C31" s="42">
        <v>2</v>
      </c>
      <c r="D31" s="42">
        <v>6</v>
      </c>
      <c r="E31" s="42">
        <v>2</v>
      </c>
      <c r="F31" s="42">
        <f t="shared" si="0"/>
        <v>10</v>
      </c>
      <c r="G31" s="43">
        <v>2</v>
      </c>
      <c r="H31" s="43">
        <v>6</v>
      </c>
      <c r="I31" s="43">
        <v>2</v>
      </c>
      <c r="J31" s="42">
        <f t="shared" si="1"/>
        <v>10</v>
      </c>
      <c r="K31" s="43">
        <v>2</v>
      </c>
      <c r="L31" s="43">
        <v>2</v>
      </c>
      <c r="M31" s="43">
        <v>2</v>
      </c>
      <c r="N31" s="42">
        <f t="shared" si="2"/>
        <v>6</v>
      </c>
      <c r="O31" s="43">
        <v>2</v>
      </c>
      <c r="P31" s="43">
        <v>6</v>
      </c>
      <c r="Q31" s="43">
        <v>2</v>
      </c>
      <c r="R31" s="42">
        <f t="shared" si="3"/>
        <v>10</v>
      </c>
      <c r="S31" s="43">
        <v>1</v>
      </c>
      <c r="T31" s="43">
        <v>4</v>
      </c>
      <c r="U31" s="43">
        <v>1</v>
      </c>
      <c r="V31" s="42">
        <f t="shared" si="4"/>
        <v>6</v>
      </c>
      <c r="W31" s="43">
        <v>2</v>
      </c>
      <c r="X31" s="43">
        <v>2</v>
      </c>
      <c r="Y31" s="43">
        <v>2</v>
      </c>
      <c r="Z31" s="42">
        <f t="shared" si="5"/>
        <v>6</v>
      </c>
      <c r="AA31" s="43">
        <v>1</v>
      </c>
      <c r="AB31" s="43">
        <v>4</v>
      </c>
      <c r="AC31" s="43">
        <v>1</v>
      </c>
      <c r="AD31" s="42">
        <f t="shared" si="6"/>
        <v>6</v>
      </c>
      <c r="AE31" s="43">
        <v>2</v>
      </c>
      <c r="AF31" s="43">
        <v>6</v>
      </c>
      <c r="AG31" s="43">
        <v>2</v>
      </c>
      <c r="AH31" s="42">
        <f t="shared" si="7"/>
        <v>10</v>
      </c>
      <c r="AI31" s="43">
        <v>1</v>
      </c>
      <c r="AJ31" s="43">
        <v>5</v>
      </c>
      <c r="AK31" s="43">
        <v>2</v>
      </c>
      <c r="AL31" s="42">
        <f t="shared" si="8"/>
        <v>8</v>
      </c>
      <c r="AM31" s="43">
        <v>1</v>
      </c>
      <c r="AN31" s="43">
        <v>4</v>
      </c>
      <c r="AO31" s="43">
        <v>1</v>
      </c>
      <c r="AP31" s="42">
        <f t="shared" si="9"/>
        <v>6</v>
      </c>
      <c r="AQ31" s="43">
        <v>1</v>
      </c>
      <c r="AR31" s="43">
        <v>2</v>
      </c>
      <c r="AS31" s="43">
        <v>2</v>
      </c>
      <c r="AT31" s="42">
        <v>6</v>
      </c>
      <c r="AU31" s="43">
        <v>1</v>
      </c>
      <c r="AV31" s="43">
        <v>2</v>
      </c>
      <c r="AW31" s="43">
        <v>2</v>
      </c>
      <c r="AX31" s="42">
        <f t="shared" si="11"/>
        <v>5</v>
      </c>
      <c r="AY31" s="43">
        <v>1</v>
      </c>
      <c r="AZ31" s="43">
        <v>4</v>
      </c>
      <c r="BA31" s="43">
        <v>1</v>
      </c>
      <c r="BB31" s="42">
        <f t="shared" si="12"/>
        <v>6</v>
      </c>
      <c r="BC31" s="43">
        <v>2</v>
      </c>
      <c r="BD31" s="43">
        <v>6</v>
      </c>
      <c r="BE31" s="43">
        <v>2</v>
      </c>
      <c r="BF31" s="42">
        <f t="shared" si="13"/>
        <v>10</v>
      </c>
      <c r="BG31" s="43">
        <v>1</v>
      </c>
      <c r="BH31" s="43">
        <v>4</v>
      </c>
      <c r="BI31" s="43">
        <v>1</v>
      </c>
      <c r="BJ31" s="42">
        <f t="shared" si="14"/>
        <v>6</v>
      </c>
      <c r="BK31" s="42">
        <f t="shared" si="15"/>
        <v>111</v>
      </c>
      <c r="BL31" s="44"/>
      <c r="BM31" s="77"/>
      <c r="BN31" s="79">
        <f t="shared" si="16"/>
        <v>37</v>
      </c>
      <c r="BO31" s="134">
        <v>37</v>
      </c>
    </row>
    <row r="32" spans="1:67" ht="21" customHeight="1">
      <c r="A32" s="125" t="s">
        <v>39</v>
      </c>
      <c r="B32" s="117" t="s">
        <v>195</v>
      </c>
      <c r="C32" s="42">
        <v>2</v>
      </c>
      <c r="D32" s="42">
        <v>6</v>
      </c>
      <c r="E32" s="42">
        <v>2</v>
      </c>
      <c r="F32" s="42">
        <f t="shared" ref="F32" si="49">C32+D32+E32</f>
        <v>10</v>
      </c>
      <c r="G32" s="43">
        <v>2</v>
      </c>
      <c r="H32" s="43">
        <v>6</v>
      </c>
      <c r="I32" s="43">
        <v>2</v>
      </c>
      <c r="J32" s="42">
        <f t="shared" ref="J32" si="50">G32+H32+I32</f>
        <v>10</v>
      </c>
      <c r="K32" s="43">
        <v>2</v>
      </c>
      <c r="L32" s="43">
        <v>2</v>
      </c>
      <c r="M32" s="43">
        <v>2</v>
      </c>
      <c r="N32" s="42">
        <f t="shared" ref="N32" si="51">K32+L32+M32</f>
        <v>6</v>
      </c>
      <c r="O32" s="43">
        <v>2</v>
      </c>
      <c r="P32" s="43">
        <v>6</v>
      </c>
      <c r="Q32" s="43">
        <v>2</v>
      </c>
      <c r="R32" s="42">
        <f t="shared" ref="R32" si="52">O32+P32+Q32</f>
        <v>10</v>
      </c>
      <c r="S32" s="43">
        <v>1</v>
      </c>
      <c r="T32" s="43">
        <v>4</v>
      </c>
      <c r="U32" s="43">
        <v>1</v>
      </c>
      <c r="V32" s="42">
        <f t="shared" ref="V32" si="53">S32+T32+U32</f>
        <v>6</v>
      </c>
      <c r="W32" s="43">
        <v>2</v>
      </c>
      <c r="X32" s="43">
        <v>2</v>
      </c>
      <c r="Y32" s="43">
        <v>2</v>
      </c>
      <c r="Z32" s="42">
        <f t="shared" ref="Z32" si="54">W32+X32+Y32</f>
        <v>6</v>
      </c>
      <c r="AA32" s="43">
        <v>1</v>
      </c>
      <c r="AB32" s="43">
        <v>4</v>
      </c>
      <c r="AC32" s="43">
        <v>1</v>
      </c>
      <c r="AD32" s="42">
        <f t="shared" ref="AD32" si="55">AA32+AB32+AC32</f>
        <v>6</v>
      </c>
      <c r="AE32" s="43">
        <v>2</v>
      </c>
      <c r="AF32" s="43">
        <v>6</v>
      </c>
      <c r="AG32" s="43">
        <v>2</v>
      </c>
      <c r="AH32" s="42">
        <f t="shared" ref="AH32" si="56">AE32+AF32+AG32</f>
        <v>10</v>
      </c>
      <c r="AI32" s="43">
        <v>1</v>
      </c>
      <c r="AJ32" s="43">
        <v>5</v>
      </c>
      <c r="AK32" s="43">
        <v>2</v>
      </c>
      <c r="AL32" s="42">
        <f t="shared" ref="AL32" si="57">AI32+AJ32+AK32</f>
        <v>8</v>
      </c>
      <c r="AM32" s="43">
        <v>1</v>
      </c>
      <c r="AN32" s="43">
        <v>4</v>
      </c>
      <c r="AO32" s="43">
        <v>1</v>
      </c>
      <c r="AP32" s="42">
        <f t="shared" ref="AP32" si="58">AM32+AN32+AO32</f>
        <v>6</v>
      </c>
      <c r="AQ32" s="43">
        <v>1</v>
      </c>
      <c r="AR32" s="43">
        <v>2</v>
      </c>
      <c r="AS32" s="43">
        <v>2</v>
      </c>
      <c r="AT32" s="42">
        <v>6</v>
      </c>
      <c r="AU32" s="43">
        <v>1</v>
      </c>
      <c r="AV32" s="43">
        <v>2</v>
      </c>
      <c r="AW32" s="43">
        <v>2</v>
      </c>
      <c r="AX32" s="42">
        <f t="shared" ref="AX32" si="59">AU32+AV32+AW32</f>
        <v>5</v>
      </c>
      <c r="AY32" s="43">
        <v>1</v>
      </c>
      <c r="AZ32" s="43">
        <v>3</v>
      </c>
      <c r="BA32" s="43">
        <v>1</v>
      </c>
      <c r="BB32" s="42">
        <f t="shared" ref="BB32" si="60">AY32+AZ32+BA32</f>
        <v>5</v>
      </c>
      <c r="BC32" s="43">
        <v>2</v>
      </c>
      <c r="BD32" s="43">
        <v>6</v>
      </c>
      <c r="BE32" s="43">
        <v>2</v>
      </c>
      <c r="BF32" s="42">
        <f t="shared" ref="BF32" si="61">BC32+BD32+BE32</f>
        <v>10</v>
      </c>
      <c r="BG32" s="43">
        <v>1</v>
      </c>
      <c r="BH32" s="43">
        <v>3</v>
      </c>
      <c r="BI32" s="43">
        <v>1</v>
      </c>
      <c r="BJ32" s="42">
        <f t="shared" ref="BJ32" si="62">BG32+BH32+BI32</f>
        <v>5</v>
      </c>
      <c r="BK32" s="42">
        <f t="shared" ref="BK32" si="63">SUM(F32,J32,N32,R32,V32,Z32,AD32,AH32,AL32,AP32,AT32,AX32,BB32,BF32,BJ32)</f>
        <v>109</v>
      </c>
      <c r="BL32" s="44"/>
      <c r="BM32" s="77"/>
      <c r="BN32" s="79">
        <f t="shared" si="16"/>
        <v>36.333333333333336</v>
      </c>
      <c r="BO32" s="134">
        <v>36</v>
      </c>
    </row>
    <row r="33" spans="1:67" ht="21" customHeight="1">
      <c r="A33" s="125" t="s">
        <v>40</v>
      </c>
      <c r="B33" s="119" t="s">
        <v>196</v>
      </c>
      <c r="C33" s="42">
        <v>2</v>
      </c>
      <c r="D33" s="42">
        <v>5</v>
      </c>
      <c r="E33" s="42">
        <v>2</v>
      </c>
      <c r="F33" s="42">
        <f t="shared" si="0"/>
        <v>9</v>
      </c>
      <c r="G33" s="43">
        <v>2</v>
      </c>
      <c r="H33" s="43">
        <v>2</v>
      </c>
      <c r="I33" s="43">
        <v>2</v>
      </c>
      <c r="J33" s="42">
        <f t="shared" si="1"/>
        <v>6</v>
      </c>
      <c r="K33" s="43">
        <v>2</v>
      </c>
      <c r="L33" s="43">
        <v>2</v>
      </c>
      <c r="M33" s="43">
        <v>2</v>
      </c>
      <c r="N33" s="42">
        <f t="shared" si="2"/>
        <v>6</v>
      </c>
      <c r="O33" s="43">
        <v>2</v>
      </c>
      <c r="P33" s="43">
        <v>4</v>
      </c>
      <c r="Q33" s="43">
        <v>2</v>
      </c>
      <c r="R33" s="42">
        <f t="shared" si="3"/>
        <v>8</v>
      </c>
      <c r="S33" s="43">
        <v>2</v>
      </c>
      <c r="T33" s="43">
        <v>6</v>
      </c>
      <c r="U33" s="43">
        <v>2</v>
      </c>
      <c r="V33" s="42">
        <f t="shared" si="4"/>
        <v>10</v>
      </c>
      <c r="W33" s="43">
        <v>2</v>
      </c>
      <c r="X33" s="43">
        <v>2</v>
      </c>
      <c r="Y33" s="43">
        <v>2</v>
      </c>
      <c r="Z33" s="42">
        <f t="shared" si="5"/>
        <v>6</v>
      </c>
      <c r="AA33" s="43">
        <v>2</v>
      </c>
      <c r="AB33" s="43">
        <v>5</v>
      </c>
      <c r="AC33" s="43">
        <v>2</v>
      </c>
      <c r="AD33" s="42">
        <f t="shared" si="6"/>
        <v>9</v>
      </c>
      <c r="AE33" s="43">
        <v>2</v>
      </c>
      <c r="AF33" s="43">
        <v>6</v>
      </c>
      <c r="AG33" s="43">
        <v>2</v>
      </c>
      <c r="AH33" s="42">
        <f t="shared" si="7"/>
        <v>10</v>
      </c>
      <c r="AI33" s="43">
        <v>2</v>
      </c>
      <c r="AJ33" s="43">
        <v>6</v>
      </c>
      <c r="AK33" s="43">
        <v>2</v>
      </c>
      <c r="AL33" s="42">
        <f t="shared" si="8"/>
        <v>10</v>
      </c>
      <c r="AM33" s="43">
        <v>2</v>
      </c>
      <c r="AN33" s="43">
        <v>6</v>
      </c>
      <c r="AO33" s="43">
        <v>2</v>
      </c>
      <c r="AP33" s="42">
        <f t="shared" si="9"/>
        <v>10</v>
      </c>
      <c r="AQ33" s="43">
        <v>2</v>
      </c>
      <c r="AR33" s="43">
        <v>6</v>
      </c>
      <c r="AS33" s="43">
        <v>2</v>
      </c>
      <c r="AT33" s="42">
        <f t="shared" si="10"/>
        <v>10</v>
      </c>
      <c r="AU33" s="43">
        <v>1</v>
      </c>
      <c r="AV33" s="43">
        <v>4</v>
      </c>
      <c r="AW33" s="43">
        <v>2</v>
      </c>
      <c r="AX33" s="42">
        <f t="shared" si="11"/>
        <v>7</v>
      </c>
      <c r="AY33" s="43">
        <v>1</v>
      </c>
      <c r="AZ33" s="43">
        <v>4</v>
      </c>
      <c r="BA33" s="43">
        <v>2</v>
      </c>
      <c r="BB33" s="42">
        <f t="shared" si="12"/>
        <v>7</v>
      </c>
      <c r="BC33" s="43">
        <v>2</v>
      </c>
      <c r="BD33" s="43">
        <v>4</v>
      </c>
      <c r="BE33" s="43">
        <v>2</v>
      </c>
      <c r="BF33" s="42">
        <f t="shared" si="13"/>
        <v>8</v>
      </c>
      <c r="BG33" s="43">
        <v>2</v>
      </c>
      <c r="BH33" s="43">
        <v>4</v>
      </c>
      <c r="BI33" s="43">
        <v>2</v>
      </c>
      <c r="BJ33" s="42">
        <f t="shared" si="14"/>
        <v>8</v>
      </c>
      <c r="BK33" s="42">
        <f t="shared" si="15"/>
        <v>124</v>
      </c>
      <c r="BL33" s="44"/>
      <c r="BM33" s="77"/>
      <c r="BN33" s="79">
        <f t="shared" si="16"/>
        <v>41.333333333333336</v>
      </c>
      <c r="BO33" s="134">
        <v>41</v>
      </c>
    </row>
    <row r="34" spans="1:67" ht="21" customHeight="1">
      <c r="A34" s="125" t="s">
        <v>41</v>
      </c>
      <c r="B34" s="119" t="s">
        <v>197</v>
      </c>
      <c r="C34" s="42">
        <v>2</v>
      </c>
      <c r="D34" s="42">
        <v>2</v>
      </c>
      <c r="E34" s="42">
        <v>2</v>
      </c>
      <c r="F34" s="42">
        <f t="shared" si="0"/>
        <v>6</v>
      </c>
      <c r="G34" s="43">
        <v>2</v>
      </c>
      <c r="H34" s="43">
        <v>2</v>
      </c>
      <c r="I34" s="43">
        <v>2</v>
      </c>
      <c r="J34" s="42">
        <f t="shared" si="1"/>
        <v>6</v>
      </c>
      <c r="K34" s="43">
        <v>2</v>
      </c>
      <c r="L34" s="43">
        <v>2</v>
      </c>
      <c r="M34" s="43">
        <v>2</v>
      </c>
      <c r="N34" s="42">
        <f t="shared" si="2"/>
        <v>6</v>
      </c>
      <c r="O34" s="43">
        <v>2</v>
      </c>
      <c r="P34" s="43">
        <v>2</v>
      </c>
      <c r="Q34" s="43">
        <v>2</v>
      </c>
      <c r="R34" s="42">
        <f t="shared" si="3"/>
        <v>6</v>
      </c>
      <c r="S34" s="43">
        <v>2</v>
      </c>
      <c r="T34" s="43">
        <v>2</v>
      </c>
      <c r="U34" s="43">
        <v>2</v>
      </c>
      <c r="V34" s="42">
        <f t="shared" si="4"/>
        <v>6</v>
      </c>
      <c r="W34" s="43">
        <v>2</v>
      </c>
      <c r="X34" s="43">
        <v>2</v>
      </c>
      <c r="Y34" s="43">
        <v>2</v>
      </c>
      <c r="Z34" s="42">
        <f t="shared" si="5"/>
        <v>6</v>
      </c>
      <c r="AA34" s="43">
        <v>2</v>
      </c>
      <c r="AB34" s="43">
        <v>2</v>
      </c>
      <c r="AC34" s="43">
        <v>2</v>
      </c>
      <c r="AD34" s="42">
        <f t="shared" si="6"/>
        <v>6</v>
      </c>
      <c r="AE34" s="43">
        <v>2</v>
      </c>
      <c r="AF34" s="43">
        <v>2</v>
      </c>
      <c r="AG34" s="43">
        <v>2</v>
      </c>
      <c r="AH34" s="42">
        <f t="shared" si="7"/>
        <v>6</v>
      </c>
      <c r="AI34" s="43">
        <v>2</v>
      </c>
      <c r="AJ34" s="43">
        <v>2</v>
      </c>
      <c r="AK34" s="43">
        <v>2</v>
      </c>
      <c r="AL34" s="42">
        <f t="shared" si="8"/>
        <v>6</v>
      </c>
      <c r="AM34" s="43">
        <v>2</v>
      </c>
      <c r="AN34" s="43">
        <v>6</v>
      </c>
      <c r="AO34" s="43">
        <v>2</v>
      </c>
      <c r="AP34" s="42">
        <f t="shared" si="9"/>
        <v>10</v>
      </c>
      <c r="AQ34" s="43">
        <v>2</v>
      </c>
      <c r="AR34" s="43">
        <v>6</v>
      </c>
      <c r="AS34" s="43">
        <v>2</v>
      </c>
      <c r="AT34" s="42">
        <f t="shared" si="10"/>
        <v>10</v>
      </c>
      <c r="AU34" s="43">
        <v>2</v>
      </c>
      <c r="AV34" s="43">
        <v>6</v>
      </c>
      <c r="AW34" s="43">
        <v>2</v>
      </c>
      <c r="AX34" s="42">
        <f t="shared" si="11"/>
        <v>10</v>
      </c>
      <c r="AY34" s="43">
        <v>2</v>
      </c>
      <c r="AZ34" s="43">
        <v>6</v>
      </c>
      <c r="BA34" s="43">
        <v>2</v>
      </c>
      <c r="BB34" s="42">
        <f t="shared" si="12"/>
        <v>10</v>
      </c>
      <c r="BC34" s="43">
        <v>2</v>
      </c>
      <c r="BD34" s="43">
        <v>2</v>
      </c>
      <c r="BE34" s="43">
        <v>2</v>
      </c>
      <c r="BF34" s="42">
        <f t="shared" si="13"/>
        <v>6</v>
      </c>
      <c r="BG34" s="43">
        <v>2</v>
      </c>
      <c r="BH34" s="43">
        <v>6</v>
      </c>
      <c r="BI34" s="43">
        <v>2</v>
      </c>
      <c r="BJ34" s="42">
        <f t="shared" si="14"/>
        <v>10</v>
      </c>
      <c r="BK34" s="42">
        <f t="shared" si="15"/>
        <v>110</v>
      </c>
      <c r="BL34" s="44"/>
      <c r="BM34" s="77"/>
      <c r="BN34" s="79">
        <f t="shared" si="16"/>
        <v>36.666666666666664</v>
      </c>
      <c r="BO34" s="135">
        <v>37</v>
      </c>
    </row>
    <row r="35" spans="1:67" ht="21" customHeight="1">
      <c r="A35" s="125" t="s">
        <v>42</v>
      </c>
      <c r="B35" s="119" t="s">
        <v>198</v>
      </c>
      <c r="C35" s="42">
        <v>2</v>
      </c>
      <c r="D35" s="42">
        <v>2</v>
      </c>
      <c r="E35" s="42">
        <v>2</v>
      </c>
      <c r="F35" s="42">
        <f t="shared" si="0"/>
        <v>6</v>
      </c>
      <c r="G35" s="43">
        <v>2</v>
      </c>
      <c r="H35" s="43">
        <v>2</v>
      </c>
      <c r="I35" s="43">
        <v>2</v>
      </c>
      <c r="J35" s="42">
        <f t="shared" si="1"/>
        <v>6</v>
      </c>
      <c r="K35" s="43">
        <v>2</v>
      </c>
      <c r="L35" s="43">
        <v>2</v>
      </c>
      <c r="M35" s="43">
        <v>2</v>
      </c>
      <c r="N35" s="42">
        <f t="shared" si="2"/>
        <v>6</v>
      </c>
      <c r="O35" s="43">
        <v>2</v>
      </c>
      <c r="P35" s="43">
        <v>2</v>
      </c>
      <c r="Q35" s="43">
        <v>2</v>
      </c>
      <c r="R35" s="42">
        <f t="shared" si="3"/>
        <v>6</v>
      </c>
      <c r="S35" s="43">
        <v>2</v>
      </c>
      <c r="T35" s="43">
        <v>4</v>
      </c>
      <c r="U35" s="43">
        <v>2</v>
      </c>
      <c r="V35" s="42">
        <f t="shared" si="4"/>
        <v>8</v>
      </c>
      <c r="W35" s="43">
        <v>2</v>
      </c>
      <c r="X35" s="43">
        <v>3</v>
      </c>
      <c r="Y35" s="43">
        <v>2</v>
      </c>
      <c r="Z35" s="42">
        <f t="shared" si="5"/>
        <v>7</v>
      </c>
      <c r="AA35" s="43">
        <v>2</v>
      </c>
      <c r="AB35" s="43">
        <v>2</v>
      </c>
      <c r="AC35" s="43">
        <v>2</v>
      </c>
      <c r="AD35" s="42">
        <f t="shared" si="6"/>
        <v>6</v>
      </c>
      <c r="AE35" s="43">
        <v>2</v>
      </c>
      <c r="AF35" s="43">
        <v>3</v>
      </c>
      <c r="AG35" s="43">
        <v>2</v>
      </c>
      <c r="AH35" s="42">
        <f t="shared" si="7"/>
        <v>7</v>
      </c>
      <c r="AI35" s="43">
        <v>2</v>
      </c>
      <c r="AJ35" s="43">
        <v>3</v>
      </c>
      <c r="AK35" s="43">
        <v>2</v>
      </c>
      <c r="AL35" s="42">
        <f t="shared" si="8"/>
        <v>7</v>
      </c>
      <c r="AM35" s="43">
        <v>2</v>
      </c>
      <c r="AN35" s="43">
        <v>6</v>
      </c>
      <c r="AO35" s="43">
        <v>2</v>
      </c>
      <c r="AP35" s="42">
        <f t="shared" si="9"/>
        <v>10</v>
      </c>
      <c r="AQ35" s="43">
        <v>2</v>
      </c>
      <c r="AR35" s="43">
        <v>6</v>
      </c>
      <c r="AS35" s="43">
        <v>2</v>
      </c>
      <c r="AT35" s="42">
        <f t="shared" si="10"/>
        <v>10</v>
      </c>
      <c r="AU35" s="43">
        <v>2</v>
      </c>
      <c r="AV35" s="43">
        <v>6</v>
      </c>
      <c r="AW35" s="43">
        <v>2</v>
      </c>
      <c r="AX35" s="42">
        <f t="shared" si="11"/>
        <v>10</v>
      </c>
      <c r="AY35" s="43">
        <v>2</v>
      </c>
      <c r="AZ35" s="43">
        <v>6</v>
      </c>
      <c r="BA35" s="43">
        <v>2</v>
      </c>
      <c r="BB35" s="42">
        <f t="shared" si="12"/>
        <v>10</v>
      </c>
      <c r="BC35" s="43">
        <v>2</v>
      </c>
      <c r="BD35" s="43">
        <v>6</v>
      </c>
      <c r="BE35" s="43">
        <v>2</v>
      </c>
      <c r="BF35" s="42">
        <f t="shared" si="13"/>
        <v>10</v>
      </c>
      <c r="BG35" s="43">
        <v>2</v>
      </c>
      <c r="BH35" s="43">
        <v>6</v>
      </c>
      <c r="BI35" s="43">
        <v>2</v>
      </c>
      <c r="BJ35" s="42">
        <f t="shared" si="14"/>
        <v>10</v>
      </c>
      <c r="BK35" s="42">
        <f t="shared" si="15"/>
        <v>119</v>
      </c>
      <c r="BL35" s="44"/>
      <c r="BM35" s="77"/>
      <c r="BN35" s="79">
        <f t="shared" si="16"/>
        <v>39.666666666666664</v>
      </c>
      <c r="BO35" s="135">
        <v>40</v>
      </c>
    </row>
    <row r="36" spans="1:67" ht="21" customHeight="1">
      <c r="A36" s="125" t="s">
        <v>43</v>
      </c>
      <c r="B36" s="119" t="s">
        <v>199</v>
      </c>
      <c r="C36" s="42">
        <v>2</v>
      </c>
      <c r="D36" s="42">
        <v>2</v>
      </c>
      <c r="E36" s="42">
        <v>2</v>
      </c>
      <c r="F36" s="42">
        <f t="shared" si="0"/>
        <v>6</v>
      </c>
      <c r="G36" s="43">
        <v>2</v>
      </c>
      <c r="H36" s="43">
        <v>2</v>
      </c>
      <c r="I36" s="43">
        <v>2</v>
      </c>
      <c r="J36" s="42">
        <f t="shared" si="1"/>
        <v>6</v>
      </c>
      <c r="K36" s="43">
        <v>2</v>
      </c>
      <c r="L36" s="43">
        <v>2</v>
      </c>
      <c r="M36" s="43">
        <v>2</v>
      </c>
      <c r="N36" s="42">
        <f t="shared" si="2"/>
        <v>6</v>
      </c>
      <c r="O36" s="43">
        <v>2</v>
      </c>
      <c r="P36" s="43">
        <v>2</v>
      </c>
      <c r="Q36" s="43">
        <v>2</v>
      </c>
      <c r="R36" s="42">
        <f t="shared" si="3"/>
        <v>6</v>
      </c>
      <c r="S36" s="43">
        <v>2</v>
      </c>
      <c r="T36" s="43">
        <v>2</v>
      </c>
      <c r="U36" s="43">
        <v>2</v>
      </c>
      <c r="V36" s="42">
        <f t="shared" si="4"/>
        <v>6</v>
      </c>
      <c r="W36" s="43">
        <v>2</v>
      </c>
      <c r="X36" s="43">
        <v>6</v>
      </c>
      <c r="Y36" s="43">
        <v>2</v>
      </c>
      <c r="Z36" s="42">
        <f t="shared" si="5"/>
        <v>10</v>
      </c>
      <c r="AA36" s="43">
        <v>2</v>
      </c>
      <c r="AB36" s="43">
        <v>6</v>
      </c>
      <c r="AC36" s="43">
        <v>2</v>
      </c>
      <c r="AD36" s="42">
        <f t="shared" si="6"/>
        <v>10</v>
      </c>
      <c r="AE36" s="43">
        <v>2</v>
      </c>
      <c r="AF36" s="43">
        <v>6</v>
      </c>
      <c r="AG36" s="43">
        <v>2</v>
      </c>
      <c r="AH36" s="42">
        <f t="shared" si="7"/>
        <v>10</v>
      </c>
      <c r="AI36" s="43">
        <v>2</v>
      </c>
      <c r="AJ36" s="43">
        <v>6</v>
      </c>
      <c r="AK36" s="43">
        <v>2</v>
      </c>
      <c r="AL36" s="42">
        <f t="shared" si="8"/>
        <v>10</v>
      </c>
      <c r="AM36" s="43">
        <v>2</v>
      </c>
      <c r="AN36" s="43">
        <v>2</v>
      </c>
      <c r="AO36" s="43">
        <v>2</v>
      </c>
      <c r="AP36" s="42">
        <f t="shared" si="9"/>
        <v>6</v>
      </c>
      <c r="AQ36" s="43">
        <v>2</v>
      </c>
      <c r="AR36" s="43">
        <v>6</v>
      </c>
      <c r="AS36" s="43">
        <v>2</v>
      </c>
      <c r="AT36" s="42">
        <f t="shared" si="10"/>
        <v>10</v>
      </c>
      <c r="AU36" s="43">
        <v>2</v>
      </c>
      <c r="AV36" s="43">
        <v>6</v>
      </c>
      <c r="AW36" s="43">
        <v>2</v>
      </c>
      <c r="AX36" s="42">
        <f t="shared" si="11"/>
        <v>10</v>
      </c>
      <c r="AY36" s="43">
        <v>2</v>
      </c>
      <c r="AZ36" s="43">
        <v>6</v>
      </c>
      <c r="BA36" s="43">
        <v>2</v>
      </c>
      <c r="BB36" s="42">
        <f t="shared" si="12"/>
        <v>10</v>
      </c>
      <c r="BC36" s="43">
        <v>2</v>
      </c>
      <c r="BD36" s="43">
        <v>3</v>
      </c>
      <c r="BE36" s="43">
        <v>2</v>
      </c>
      <c r="BF36" s="42">
        <f t="shared" si="13"/>
        <v>7</v>
      </c>
      <c r="BG36" s="43">
        <v>2</v>
      </c>
      <c r="BH36" s="43">
        <v>5</v>
      </c>
      <c r="BI36" s="43">
        <v>2</v>
      </c>
      <c r="BJ36" s="42">
        <f t="shared" si="14"/>
        <v>9</v>
      </c>
      <c r="BK36" s="42">
        <f t="shared" si="15"/>
        <v>122</v>
      </c>
      <c r="BL36" s="44"/>
      <c r="BM36" s="77"/>
      <c r="BN36" s="79">
        <f t="shared" si="16"/>
        <v>40.666666666666664</v>
      </c>
      <c r="BO36" s="135">
        <v>41</v>
      </c>
    </row>
    <row r="37" spans="1:67" ht="21" customHeight="1">
      <c r="A37" s="125" t="s">
        <v>44</v>
      </c>
      <c r="B37" s="119" t="s">
        <v>200</v>
      </c>
      <c r="C37" s="42">
        <v>2</v>
      </c>
      <c r="D37" s="42">
        <v>2</v>
      </c>
      <c r="E37" s="42">
        <v>2</v>
      </c>
      <c r="F37" s="42">
        <f t="shared" si="0"/>
        <v>6</v>
      </c>
      <c r="G37" s="43">
        <v>2</v>
      </c>
      <c r="H37" s="43">
        <v>2</v>
      </c>
      <c r="I37" s="43">
        <v>2</v>
      </c>
      <c r="J37" s="42">
        <f t="shared" si="1"/>
        <v>6</v>
      </c>
      <c r="K37" s="43">
        <v>2</v>
      </c>
      <c r="L37" s="43">
        <v>2</v>
      </c>
      <c r="M37" s="43">
        <v>2</v>
      </c>
      <c r="N37" s="42">
        <f t="shared" si="2"/>
        <v>6</v>
      </c>
      <c r="O37" s="43">
        <v>2</v>
      </c>
      <c r="P37" s="43">
        <v>6</v>
      </c>
      <c r="Q37" s="43">
        <v>2</v>
      </c>
      <c r="R37" s="42">
        <f t="shared" si="3"/>
        <v>10</v>
      </c>
      <c r="S37" s="43">
        <v>2</v>
      </c>
      <c r="T37" s="43">
        <v>6</v>
      </c>
      <c r="U37" s="43">
        <v>2</v>
      </c>
      <c r="V37" s="42">
        <f t="shared" si="4"/>
        <v>10</v>
      </c>
      <c r="W37" s="43">
        <v>2</v>
      </c>
      <c r="X37" s="43">
        <v>6</v>
      </c>
      <c r="Y37" s="43">
        <v>2</v>
      </c>
      <c r="Z37" s="42">
        <f t="shared" si="5"/>
        <v>10</v>
      </c>
      <c r="AA37" s="43">
        <v>2</v>
      </c>
      <c r="AB37" s="43">
        <v>6</v>
      </c>
      <c r="AC37" s="43">
        <v>2</v>
      </c>
      <c r="AD37" s="42">
        <f t="shared" si="6"/>
        <v>10</v>
      </c>
      <c r="AE37" s="43">
        <v>2</v>
      </c>
      <c r="AF37" s="43">
        <v>6</v>
      </c>
      <c r="AG37" s="43">
        <v>2</v>
      </c>
      <c r="AH37" s="42">
        <f t="shared" si="7"/>
        <v>10</v>
      </c>
      <c r="AI37" s="43">
        <v>2</v>
      </c>
      <c r="AJ37" s="43">
        <v>6</v>
      </c>
      <c r="AK37" s="43">
        <v>2</v>
      </c>
      <c r="AL37" s="42">
        <f t="shared" si="8"/>
        <v>10</v>
      </c>
      <c r="AM37" s="43">
        <v>2</v>
      </c>
      <c r="AN37" s="43">
        <v>5</v>
      </c>
      <c r="AO37" s="43">
        <v>2</v>
      </c>
      <c r="AP37" s="42">
        <f t="shared" si="9"/>
        <v>9</v>
      </c>
      <c r="AQ37" s="43">
        <v>1</v>
      </c>
      <c r="AR37" s="43">
        <v>3</v>
      </c>
      <c r="AS37" s="43">
        <v>1</v>
      </c>
      <c r="AT37" s="42">
        <f t="shared" si="10"/>
        <v>5</v>
      </c>
      <c r="AU37" s="43">
        <v>1</v>
      </c>
      <c r="AV37" s="43">
        <v>3</v>
      </c>
      <c r="AW37" s="43">
        <v>1</v>
      </c>
      <c r="AX37" s="42">
        <f t="shared" si="11"/>
        <v>5</v>
      </c>
      <c r="AY37" s="43">
        <v>1</v>
      </c>
      <c r="AZ37" s="43">
        <v>3</v>
      </c>
      <c r="BA37" s="43">
        <v>2</v>
      </c>
      <c r="BB37" s="42">
        <f t="shared" si="12"/>
        <v>6</v>
      </c>
      <c r="BC37" s="43">
        <v>2</v>
      </c>
      <c r="BD37" s="43">
        <v>5</v>
      </c>
      <c r="BE37" s="43">
        <v>2</v>
      </c>
      <c r="BF37" s="42">
        <f t="shared" si="13"/>
        <v>9</v>
      </c>
      <c r="BG37" s="43">
        <v>1</v>
      </c>
      <c r="BH37" s="43">
        <v>3</v>
      </c>
      <c r="BI37" s="43">
        <v>2</v>
      </c>
      <c r="BJ37" s="42">
        <f t="shared" si="14"/>
        <v>6</v>
      </c>
      <c r="BK37" s="42">
        <f t="shared" si="15"/>
        <v>118</v>
      </c>
      <c r="BL37" s="44"/>
      <c r="BM37" s="77"/>
      <c r="BN37" s="79">
        <f t="shared" si="16"/>
        <v>39.333333333333329</v>
      </c>
      <c r="BO37" s="135">
        <v>39</v>
      </c>
    </row>
    <row r="38" spans="1:67" ht="21" customHeight="1">
      <c r="A38" s="125" t="s">
        <v>45</v>
      </c>
      <c r="B38" s="117" t="s">
        <v>201</v>
      </c>
      <c r="C38" s="42">
        <v>2</v>
      </c>
      <c r="D38" s="42">
        <v>3</v>
      </c>
      <c r="E38" s="42">
        <v>2</v>
      </c>
      <c r="F38" s="42">
        <f t="shared" si="0"/>
        <v>7</v>
      </c>
      <c r="G38" s="43">
        <v>2</v>
      </c>
      <c r="H38" s="43">
        <v>2</v>
      </c>
      <c r="I38" s="43">
        <v>2</v>
      </c>
      <c r="J38" s="42">
        <f t="shared" si="1"/>
        <v>6</v>
      </c>
      <c r="K38" s="43">
        <v>2</v>
      </c>
      <c r="L38" s="43">
        <v>2</v>
      </c>
      <c r="M38" s="43">
        <v>2</v>
      </c>
      <c r="N38" s="42">
        <f t="shared" si="2"/>
        <v>6</v>
      </c>
      <c r="O38" s="43">
        <v>2</v>
      </c>
      <c r="P38" s="43">
        <v>4</v>
      </c>
      <c r="Q38" s="43">
        <v>2</v>
      </c>
      <c r="R38" s="42">
        <f t="shared" si="3"/>
        <v>8</v>
      </c>
      <c r="S38" s="43">
        <v>2</v>
      </c>
      <c r="T38" s="43">
        <v>6</v>
      </c>
      <c r="U38" s="43">
        <v>2</v>
      </c>
      <c r="V38" s="42">
        <f t="shared" si="4"/>
        <v>10</v>
      </c>
      <c r="W38" s="43">
        <v>2</v>
      </c>
      <c r="X38" s="43">
        <v>2</v>
      </c>
      <c r="Y38" s="43">
        <v>2</v>
      </c>
      <c r="Z38" s="42">
        <f t="shared" si="5"/>
        <v>6</v>
      </c>
      <c r="AA38" s="43">
        <v>2</v>
      </c>
      <c r="AB38" s="43">
        <v>5</v>
      </c>
      <c r="AC38" s="43">
        <v>2</v>
      </c>
      <c r="AD38" s="42">
        <f t="shared" si="6"/>
        <v>9</v>
      </c>
      <c r="AE38" s="43">
        <v>2</v>
      </c>
      <c r="AF38" s="43">
        <v>6</v>
      </c>
      <c r="AG38" s="43">
        <v>2</v>
      </c>
      <c r="AH38" s="42">
        <f t="shared" si="7"/>
        <v>10</v>
      </c>
      <c r="AI38" s="43">
        <v>2</v>
      </c>
      <c r="AJ38" s="43">
        <v>6</v>
      </c>
      <c r="AK38" s="43">
        <v>2</v>
      </c>
      <c r="AL38" s="42">
        <f t="shared" si="8"/>
        <v>10</v>
      </c>
      <c r="AM38" s="43">
        <v>2</v>
      </c>
      <c r="AN38" s="43">
        <v>6</v>
      </c>
      <c r="AO38" s="43">
        <v>2</v>
      </c>
      <c r="AP38" s="42">
        <f t="shared" si="9"/>
        <v>10</v>
      </c>
      <c r="AQ38" s="43">
        <v>1</v>
      </c>
      <c r="AR38" s="43">
        <v>3</v>
      </c>
      <c r="AS38" s="43">
        <v>1</v>
      </c>
      <c r="AT38" s="42">
        <f t="shared" si="10"/>
        <v>5</v>
      </c>
      <c r="AU38" s="43">
        <v>1</v>
      </c>
      <c r="AV38" s="43">
        <v>3</v>
      </c>
      <c r="AW38" s="43">
        <v>2</v>
      </c>
      <c r="AX38" s="42">
        <f t="shared" si="11"/>
        <v>6</v>
      </c>
      <c r="AY38" s="43">
        <v>1</v>
      </c>
      <c r="AZ38" s="43">
        <v>3</v>
      </c>
      <c r="BA38" s="43">
        <v>2</v>
      </c>
      <c r="BB38" s="42">
        <f t="shared" si="12"/>
        <v>6</v>
      </c>
      <c r="BC38" s="43">
        <v>2</v>
      </c>
      <c r="BD38" s="43">
        <v>5</v>
      </c>
      <c r="BE38" s="43">
        <v>2</v>
      </c>
      <c r="BF38" s="42">
        <f t="shared" si="13"/>
        <v>9</v>
      </c>
      <c r="BG38" s="43">
        <v>2</v>
      </c>
      <c r="BH38" s="43">
        <v>5</v>
      </c>
      <c r="BI38" s="43">
        <v>2</v>
      </c>
      <c r="BJ38" s="42">
        <v>2</v>
      </c>
      <c r="BK38" s="42">
        <f t="shared" si="15"/>
        <v>110</v>
      </c>
      <c r="BL38" s="44"/>
      <c r="BM38" s="77"/>
      <c r="BN38" s="79">
        <f t="shared" si="16"/>
        <v>36.666666666666664</v>
      </c>
      <c r="BO38" s="135">
        <v>37</v>
      </c>
    </row>
    <row r="39" spans="1:67" ht="21" customHeight="1">
      <c r="A39" s="131" t="s">
        <v>46</v>
      </c>
      <c r="B39" s="132" t="s">
        <v>202</v>
      </c>
      <c r="C39" s="42">
        <v>2</v>
      </c>
      <c r="D39" s="42">
        <v>6</v>
      </c>
      <c r="E39" s="42">
        <v>2</v>
      </c>
      <c r="F39" s="42">
        <f t="shared" si="0"/>
        <v>10</v>
      </c>
      <c r="G39" s="43">
        <v>2</v>
      </c>
      <c r="H39" s="43">
        <v>2</v>
      </c>
      <c r="I39" s="43">
        <v>2</v>
      </c>
      <c r="J39" s="42">
        <f t="shared" si="1"/>
        <v>6</v>
      </c>
      <c r="K39" s="43">
        <v>2</v>
      </c>
      <c r="L39" s="43">
        <v>2</v>
      </c>
      <c r="M39" s="43">
        <v>2</v>
      </c>
      <c r="N39" s="42">
        <f t="shared" si="2"/>
        <v>6</v>
      </c>
      <c r="O39" s="43">
        <v>2</v>
      </c>
      <c r="P39" s="43">
        <v>4</v>
      </c>
      <c r="Q39" s="43">
        <v>2</v>
      </c>
      <c r="R39" s="42">
        <f t="shared" si="3"/>
        <v>8</v>
      </c>
      <c r="S39" s="43">
        <v>2</v>
      </c>
      <c r="T39" s="43">
        <v>6</v>
      </c>
      <c r="U39" s="43">
        <v>2</v>
      </c>
      <c r="V39" s="42">
        <f t="shared" si="4"/>
        <v>10</v>
      </c>
      <c r="W39" s="43">
        <v>2</v>
      </c>
      <c r="X39" s="43">
        <v>4</v>
      </c>
      <c r="Y39" s="43">
        <v>2</v>
      </c>
      <c r="Z39" s="42">
        <f t="shared" si="5"/>
        <v>8</v>
      </c>
      <c r="AA39" s="43">
        <v>2</v>
      </c>
      <c r="AB39" s="43">
        <v>5</v>
      </c>
      <c r="AC39" s="43">
        <v>2</v>
      </c>
      <c r="AD39" s="42">
        <f t="shared" si="6"/>
        <v>9</v>
      </c>
      <c r="AE39" s="43">
        <v>2</v>
      </c>
      <c r="AF39" s="43">
        <v>6</v>
      </c>
      <c r="AG39" s="43">
        <v>2</v>
      </c>
      <c r="AH39" s="42">
        <f t="shared" si="7"/>
        <v>10</v>
      </c>
      <c r="AI39" s="43">
        <v>2</v>
      </c>
      <c r="AJ39" s="43">
        <v>6</v>
      </c>
      <c r="AK39" s="43">
        <v>2</v>
      </c>
      <c r="AL39" s="42">
        <f t="shared" si="8"/>
        <v>10</v>
      </c>
      <c r="AM39" s="43">
        <v>2</v>
      </c>
      <c r="AN39" s="43">
        <v>6</v>
      </c>
      <c r="AO39" s="43">
        <v>2</v>
      </c>
      <c r="AP39" s="42">
        <f t="shared" si="9"/>
        <v>10</v>
      </c>
      <c r="AQ39" s="43">
        <v>2</v>
      </c>
      <c r="AR39" s="43">
        <v>6</v>
      </c>
      <c r="AS39" s="43">
        <v>2</v>
      </c>
      <c r="AT39" s="42">
        <f t="shared" si="10"/>
        <v>10</v>
      </c>
      <c r="AU39" s="43">
        <v>2</v>
      </c>
      <c r="AV39" s="43">
        <v>6</v>
      </c>
      <c r="AW39" s="43">
        <v>2</v>
      </c>
      <c r="AX39" s="42">
        <f t="shared" si="11"/>
        <v>10</v>
      </c>
      <c r="AY39" s="43">
        <v>2</v>
      </c>
      <c r="AZ39" s="43">
        <v>6</v>
      </c>
      <c r="BA39" s="43">
        <v>2</v>
      </c>
      <c r="BB39" s="42">
        <f t="shared" si="12"/>
        <v>10</v>
      </c>
      <c r="BC39" s="43">
        <v>1</v>
      </c>
      <c r="BD39" s="43">
        <v>5</v>
      </c>
      <c r="BE39" s="43">
        <v>1</v>
      </c>
      <c r="BF39" s="42">
        <f t="shared" si="13"/>
        <v>7</v>
      </c>
      <c r="BG39" s="43">
        <v>1</v>
      </c>
      <c r="BH39" s="43">
        <v>4</v>
      </c>
      <c r="BI39" s="43">
        <v>1</v>
      </c>
      <c r="BJ39" s="42">
        <f t="shared" si="14"/>
        <v>6</v>
      </c>
      <c r="BK39" s="42">
        <f t="shared" si="15"/>
        <v>130</v>
      </c>
      <c r="BL39" s="44"/>
      <c r="BM39" s="77"/>
      <c r="BN39" s="79">
        <f t="shared" si="16"/>
        <v>43.333333333333336</v>
      </c>
      <c r="BO39" s="138">
        <v>43</v>
      </c>
    </row>
    <row r="40" spans="1:67" ht="21" customHeight="1">
      <c r="A40" s="125" t="s">
        <v>47</v>
      </c>
      <c r="B40" s="120" t="s">
        <v>203</v>
      </c>
      <c r="C40" s="42">
        <v>2</v>
      </c>
      <c r="D40" s="42">
        <v>3</v>
      </c>
      <c r="E40" s="42">
        <v>2</v>
      </c>
      <c r="F40" s="42">
        <f t="shared" si="0"/>
        <v>7</v>
      </c>
      <c r="G40" s="43">
        <v>2</v>
      </c>
      <c r="H40" s="43">
        <v>2</v>
      </c>
      <c r="I40" s="43">
        <v>2</v>
      </c>
      <c r="J40" s="42">
        <f t="shared" si="1"/>
        <v>6</v>
      </c>
      <c r="K40" s="43">
        <v>2</v>
      </c>
      <c r="L40" s="43">
        <v>2</v>
      </c>
      <c r="M40" s="43">
        <v>2</v>
      </c>
      <c r="N40" s="42">
        <f t="shared" si="2"/>
        <v>6</v>
      </c>
      <c r="O40" s="43">
        <v>2</v>
      </c>
      <c r="P40" s="43">
        <v>4</v>
      </c>
      <c r="Q40" s="43">
        <v>2</v>
      </c>
      <c r="R40" s="42">
        <f t="shared" si="3"/>
        <v>8</v>
      </c>
      <c r="S40" s="43">
        <v>2</v>
      </c>
      <c r="T40" s="43">
        <v>6</v>
      </c>
      <c r="U40" s="43">
        <v>2</v>
      </c>
      <c r="V40" s="42">
        <f t="shared" si="4"/>
        <v>10</v>
      </c>
      <c r="W40" s="43">
        <v>2</v>
      </c>
      <c r="X40" s="43">
        <v>4</v>
      </c>
      <c r="Y40" s="43">
        <v>2</v>
      </c>
      <c r="Z40" s="42">
        <f t="shared" si="5"/>
        <v>8</v>
      </c>
      <c r="AA40" s="43">
        <v>2</v>
      </c>
      <c r="AB40" s="43">
        <v>5</v>
      </c>
      <c r="AC40" s="43">
        <v>2</v>
      </c>
      <c r="AD40" s="42">
        <f t="shared" si="6"/>
        <v>9</v>
      </c>
      <c r="AE40" s="43">
        <v>2</v>
      </c>
      <c r="AF40" s="43">
        <v>6</v>
      </c>
      <c r="AG40" s="43">
        <v>2</v>
      </c>
      <c r="AH40" s="42">
        <f t="shared" si="7"/>
        <v>10</v>
      </c>
      <c r="AI40" s="43">
        <v>2</v>
      </c>
      <c r="AJ40" s="43">
        <v>6</v>
      </c>
      <c r="AK40" s="43">
        <v>2</v>
      </c>
      <c r="AL40" s="42">
        <f t="shared" si="8"/>
        <v>10</v>
      </c>
      <c r="AM40" s="43">
        <v>2</v>
      </c>
      <c r="AN40" s="43">
        <v>6</v>
      </c>
      <c r="AO40" s="43">
        <v>2</v>
      </c>
      <c r="AP40" s="42">
        <f t="shared" si="9"/>
        <v>10</v>
      </c>
      <c r="AQ40" s="43">
        <v>1</v>
      </c>
      <c r="AR40" s="43">
        <v>4</v>
      </c>
      <c r="AS40" s="43">
        <v>2</v>
      </c>
      <c r="AT40" s="42">
        <f t="shared" si="10"/>
        <v>7</v>
      </c>
      <c r="AU40" s="43">
        <v>2</v>
      </c>
      <c r="AV40" s="43">
        <v>4</v>
      </c>
      <c r="AW40" s="43">
        <v>2</v>
      </c>
      <c r="AX40" s="42">
        <f t="shared" si="11"/>
        <v>8</v>
      </c>
      <c r="AY40" s="43">
        <v>1</v>
      </c>
      <c r="AZ40" s="43">
        <v>4</v>
      </c>
      <c r="BA40" s="43">
        <v>2</v>
      </c>
      <c r="BB40" s="42">
        <f t="shared" si="12"/>
        <v>7</v>
      </c>
      <c r="BC40" s="43">
        <v>2</v>
      </c>
      <c r="BD40" s="43">
        <v>6</v>
      </c>
      <c r="BE40" s="43">
        <v>2</v>
      </c>
      <c r="BF40" s="42">
        <f t="shared" si="13"/>
        <v>10</v>
      </c>
      <c r="BG40" s="43">
        <v>1</v>
      </c>
      <c r="BH40" s="43">
        <v>3</v>
      </c>
      <c r="BI40" s="43">
        <v>2</v>
      </c>
      <c r="BJ40" s="42">
        <f t="shared" si="14"/>
        <v>6</v>
      </c>
      <c r="BK40" s="42">
        <f t="shared" si="15"/>
        <v>122</v>
      </c>
      <c r="BL40" s="44"/>
      <c r="BM40" s="77"/>
      <c r="BN40" s="79">
        <f t="shared" si="16"/>
        <v>40.666666666666664</v>
      </c>
      <c r="BO40" s="135">
        <v>41</v>
      </c>
    </row>
    <row r="41" spans="1:67" ht="21" customHeight="1">
      <c r="A41" s="125" t="s">
        <v>48</v>
      </c>
      <c r="B41" s="120" t="s">
        <v>204</v>
      </c>
      <c r="C41" s="42">
        <v>2</v>
      </c>
      <c r="D41" s="42">
        <v>6</v>
      </c>
      <c r="E41" s="42">
        <v>2</v>
      </c>
      <c r="F41" s="42">
        <f t="shared" si="0"/>
        <v>10</v>
      </c>
      <c r="G41" s="43">
        <v>2</v>
      </c>
      <c r="H41" s="43">
        <v>6</v>
      </c>
      <c r="I41" s="43">
        <v>2</v>
      </c>
      <c r="J41" s="42">
        <f t="shared" si="1"/>
        <v>10</v>
      </c>
      <c r="K41" s="43">
        <v>2</v>
      </c>
      <c r="L41" s="43">
        <v>2</v>
      </c>
      <c r="M41" s="43">
        <v>2</v>
      </c>
      <c r="N41" s="42">
        <f t="shared" si="2"/>
        <v>6</v>
      </c>
      <c r="O41" s="43">
        <v>2</v>
      </c>
      <c r="P41" s="43">
        <v>6</v>
      </c>
      <c r="Q41" s="43">
        <v>2</v>
      </c>
      <c r="R41" s="42">
        <f t="shared" si="3"/>
        <v>10</v>
      </c>
      <c r="S41" s="43">
        <v>2</v>
      </c>
      <c r="T41" s="43">
        <v>6</v>
      </c>
      <c r="U41" s="43">
        <v>2</v>
      </c>
      <c r="V41" s="42">
        <f t="shared" si="4"/>
        <v>10</v>
      </c>
      <c r="W41" s="43">
        <v>2</v>
      </c>
      <c r="X41" s="43">
        <v>2</v>
      </c>
      <c r="Y41" s="43">
        <v>2</v>
      </c>
      <c r="Z41" s="42">
        <f t="shared" si="5"/>
        <v>6</v>
      </c>
      <c r="AA41" s="43">
        <v>2</v>
      </c>
      <c r="AB41" s="43">
        <v>6</v>
      </c>
      <c r="AC41" s="43">
        <v>2</v>
      </c>
      <c r="AD41" s="42">
        <f t="shared" si="6"/>
        <v>10</v>
      </c>
      <c r="AE41" s="43">
        <v>2</v>
      </c>
      <c r="AF41" s="43">
        <v>6</v>
      </c>
      <c r="AG41" s="43">
        <v>2</v>
      </c>
      <c r="AH41" s="42">
        <f t="shared" si="7"/>
        <v>10</v>
      </c>
      <c r="AI41" s="43">
        <v>2</v>
      </c>
      <c r="AJ41" s="43">
        <v>6</v>
      </c>
      <c r="AK41" s="43">
        <v>2</v>
      </c>
      <c r="AL41" s="42">
        <f t="shared" si="8"/>
        <v>10</v>
      </c>
      <c r="AM41" s="43">
        <v>2</v>
      </c>
      <c r="AN41" s="43">
        <v>4</v>
      </c>
      <c r="AO41" s="43">
        <v>2</v>
      </c>
      <c r="AP41" s="42">
        <f t="shared" si="9"/>
        <v>8</v>
      </c>
      <c r="AQ41" s="43">
        <v>2</v>
      </c>
      <c r="AR41" s="43">
        <v>3</v>
      </c>
      <c r="AS41" s="43">
        <v>2</v>
      </c>
      <c r="AT41" s="42">
        <f t="shared" si="10"/>
        <v>7</v>
      </c>
      <c r="AU41" s="43">
        <v>2</v>
      </c>
      <c r="AV41" s="43">
        <v>3</v>
      </c>
      <c r="AW41" s="43">
        <v>2</v>
      </c>
      <c r="AX41" s="42">
        <f t="shared" si="11"/>
        <v>7</v>
      </c>
      <c r="AY41" s="43">
        <v>1</v>
      </c>
      <c r="AZ41" s="43">
        <v>4</v>
      </c>
      <c r="BA41" s="43">
        <v>2</v>
      </c>
      <c r="BB41" s="42">
        <f t="shared" si="12"/>
        <v>7</v>
      </c>
      <c r="BC41" s="43">
        <v>2</v>
      </c>
      <c r="BD41" s="43">
        <v>5</v>
      </c>
      <c r="BE41" s="43">
        <v>2</v>
      </c>
      <c r="BF41" s="42">
        <f t="shared" si="13"/>
        <v>9</v>
      </c>
      <c r="BG41" s="43">
        <v>1</v>
      </c>
      <c r="BH41" s="43">
        <v>4</v>
      </c>
      <c r="BI41" s="43">
        <v>2</v>
      </c>
      <c r="BJ41" s="42">
        <f t="shared" si="14"/>
        <v>7</v>
      </c>
      <c r="BK41" s="42">
        <f t="shared" si="15"/>
        <v>127</v>
      </c>
      <c r="BL41" s="44"/>
      <c r="BM41" s="77"/>
      <c r="BN41" s="79">
        <f t="shared" si="16"/>
        <v>42.333333333333336</v>
      </c>
      <c r="BO41" s="135">
        <v>42</v>
      </c>
    </row>
    <row r="42" spans="1:67" ht="21" customHeight="1">
      <c r="A42" s="131" t="s">
        <v>49</v>
      </c>
      <c r="B42" s="133" t="s">
        <v>205</v>
      </c>
      <c r="C42" s="42">
        <v>2</v>
      </c>
      <c r="D42" s="42">
        <v>3</v>
      </c>
      <c r="E42" s="42">
        <v>2</v>
      </c>
      <c r="F42" s="42">
        <f t="shared" si="0"/>
        <v>7</v>
      </c>
      <c r="G42" s="43">
        <v>2</v>
      </c>
      <c r="H42" s="43">
        <v>6</v>
      </c>
      <c r="I42" s="43">
        <v>2</v>
      </c>
      <c r="J42" s="42">
        <f t="shared" si="1"/>
        <v>10</v>
      </c>
      <c r="K42" s="43">
        <v>2</v>
      </c>
      <c r="L42" s="43">
        <v>2</v>
      </c>
      <c r="M42" s="43">
        <v>2</v>
      </c>
      <c r="N42" s="42">
        <f t="shared" si="2"/>
        <v>6</v>
      </c>
      <c r="O42" s="43">
        <v>2</v>
      </c>
      <c r="P42" s="43">
        <v>6</v>
      </c>
      <c r="Q42" s="43">
        <v>2</v>
      </c>
      <c r="R42" s="42">
        <f t="shared" si="3"/>
        <v>10</v>
      </c>
      <c r="S42" s="43">
        <v>2</v>
      </c>
      <c r="T42" s="43">
        <v>6</v>
      </c>
      <c r="U42" s="43">
        <v>2</v>
      </c>
      <c r="V42" s="42">
        <f t="shared" si="4"/>
        <v>10</v>
      </c>
      <c r="W42" s="43">
        <v>2</v>
      </c>
      <c r="X42" s="43">
        <v>5</v>
      </c>
      <c r="Y42" s="43">
        <v>2</v>
      </c>
      <c r="Z42" s="42">
        <f t="shared" si="5"/>
        <v>9</v>
      </c>
      <c r="AA42" s="43">
        <v>2</v>
      </c>
      <c r="AB42" s="43">
        <v>5</v>
      </c>
      <c r="AC42" s="43">
        <v>2</v>
      </c>
      <c r="AD42" s="42">
        <f t="shared" si="6"/>
        <v>9</v>
      </c>
      <c r="AE42" s="43">
        <v>2</v>
      </c>
      <c r="AF42" s="43">
        <v>4</v>
      </c>
      <c r="AG42" s="43">
        <v>2</v>
      </c>
      <c r="AH42" s="42">
        <f t="shared" si="7"/>
        <v>8</v>
      </c>
      <c r="AI42" s="43">
        <v>2</v>
      </c>
      <c r="AJ42" s="43">
        <v>5</v>
      </c>
      <c r="AK42" s="43">
        <v>2</v>
      </c>
      <c r="AL42" s="42">
        <f t="shared" si="8"/>
        <v>9</v>
      </c>
      <c r="AM42" s="43">
        <v>2</v>
      </c>
      <c r="AN42" s="43">
        <v>5</v>
      </c>
      <c r="AO42" s="43">
        <v>2</v>
      </c>
      <c r="AP42" s="42">
        <f t="shared" si="9"/>
        <v>9</v>
      </c>
      <c r="AQ42" s="43">
        <v>2</v>
      </c>
      <c r="AR42" s="43">
        <v>6</v>
      </c>
      <c r="AS42" s="43">
        <v>2</v>
      </c>
      <c r="AT42" s="42">
        <f t="shared" si="10"/>
        <v>10</v>
      </c>
      <c r="AU42" s="43">
        <v>2</v>
      </c>
      <c r="AV42" s="43">
        <v>5</v>
      </c>
      <c r="AW42" s="43">
        <v>2</v>
      </c>
      <c r="AX42" s="42">
        <f t="shared" si="11"/>
        <v>9</v>
      </c>
      <c r="AY42" s="43">
        <v>2</v>
      </c>
      <c r="AZ42" s="43">
        <v>5</v>
      </c>
      <c r="BA42" s="43">
        <v>2</v>
      </c>
      <c r="BB42" s="42">
        <f t="shared" si="12"/>
        <v>9</v>
      </c>
      <c r="BC42" s="43">
        <v>2</v>
      </c>
      <c r="BD42" s="43">
        <v>5</v>
      </c>
      <c r="BE42" s="43">
        <v>2</v>
      </c>
      <c r="BF42" s="42">
        <f t="shared" si="13"/>
        <v>9</v>
      </c>
      <c r="BG42" s="43">
        <v>2</v>
      </c>
      <c r="BH42" s="43">
        <v>6</v>
      </c>
      <c r="BI42" s="43">
        <v>2</v>
      </c>
      <c r="BJ42" s="42">
        <f t="shared" si="14"/>
        <v>10</v>
      </c>
      <c r="BK42" s="42">
        <f t="shared" si="15"/>
        <v>134</v>
      </c>
      <c r="BL42" s="44"/>
      <c r="BM42" s="77"/>
      <c r="BN42" s="79">
        <f t="shared" si="16"/>
        <v>44.666666666666664</v>
      </c>
      <c r="BO42" s="138">
        <v>45</v>
      </c>
    </row>
    <row r="43" spans="1:67" ht="21" customHeight="1">
      <c r="A43" s="125" t="s">
        <v>50</v>
      </c>
      <c r="B43" s="117" t="s">
        <v>206</v>
      </c>
      <c r="C43" s="42">
        <v>2</v>
      </c>
      <c r="D43" s="42">
        <v>3</v>
      </c>
      <c r="E43" s="42">
        <v>2</v>
      </c>
      <c r="F43" s="42">
        <f t="shared" si="0"/>
        <v>7</v>
      </c>
      <c r="G43" s="43">
        <v>2</v>
      </c>
      <c r="H43" s="43">
        <v>2</v>
      </c>
      <c r="I43" s="43">
        <v>2</v>
      </c>
      <c r="J43" s="42">
        <f t="shared" si="1"/>
        <v>6</v>
      </c>
      <c r="K43" s="43">
        <v>2</v>
      </c>
      <c r="L43" s="43">
        <v>2</v>
      </c>
      <c r="M43" s="43">
        <v>2</v>
      </c>
      <c r="N43" s="42">
        <f t="shared" si="2"/>
        <v>6</v>
      </c>
      <c r="O43" s="43">
        <v>2</v>
      </c>
      <c r="P43" s="43">
        <v>6</v>
      </c>
      <c r="Q43" s="43">
        <v>2</v>
      </c>
      <c r="R43" s="42">
        <f t="shared" si="3"/>
        <v>10</v>
      </c>
      <c r="S43" s="43">
        <v>2</v>
      </c>
      <c r="T43" s="43">
        <v>6</v>
      </c>
      <c r="U43" s="43">
        <v>2</v>
      </c>
      <c r="V43" s="42">
        <f t="shared" si="4"/>
        <v>10</v>
      </c>
      <c r="W43" s="43">
        <v>2</v>
      </c>
      <c r="X43" s="43">
        <v>6</v>
      </c>
      <c r="Y43" s="43">
        <v>2</v>
      </c>
      <c r="Z43" s="42">
        <f t="shared" si="5"/>
        <v>10</v>
      </c>
      <c r="AA43" s="43">
        <v>2</v>
      </c>
      <c r="AB43" s="43">
        <v>6</v>
      </c>
      <c r="AC43" s="43">
        <v>2</v>
      </c>
      <c r="AD43" s="42">
        <f t="shared" si="6"/>
        <v>10</v>
      </c>
      <c r="AE43" s="43">
        <v>2</v>
      </c>
      <c r="AF43" s="43">
        <v>6</v>
      </c>
      <c r="AG43" s="43">
        <v>2</v>
      </c>
      <c r="AH43" s="42">
        <f t="shared" si="7"/>
        <v>10</v>
      </c>
      <c r="AI43" s="43">
        <v>2</v>
      </c>
      <c r="AJ43" s="43">
        <v>6</v>
      </c>
      <c r="AK43" s="43">
        <v>2</v>
      </c>
      <c r="AL43" s="42">
        <f t="shared" si="8"/>
        <v>10</v>
      </c>
      <c r="AM43" s="43">
        <v>2</v>
      </c>
      <c r="AN43" s="43">
        <v>6</v>
      </c>
      <c r="AO43" s="43">
        <v>2</v>
      </c>
      <c r="AP43" s="42">
        <f t="shared" si="9"/>
        <v>10</v>
      </c>
      <c r="AQ43" s="43">
        <v>2</v>
      </c>
      <c r="AR43" s="43">
        <v>2</v>
      </c>
      <c r="AS43" s="43">
        <v>2</v>
      </c>
      <c r="AT43" s="42">
        <f t="shared" si="10"/>
        <v>6</v>
      </c>
      <c r="AU43" s="43">
        <v>2</v>
      </c>
      <c r="AV43" s="43">
        <v>6</v>
      </c>
      <c r="AW43" s="43">
        <v>2</v>
      </c>
      <c r="AX43" s="42">
        <f t="shared" si="11"/>
        <v>10</v>
      </c>
      <c r="AY43" s="43">
        <v>2</v>
      </c>
      <c r="AZ43" s="43">
        <v>6</v>
      </c>
      <c r="BA43" s="43">
        <v>2</v>
      </c>
      <c r="BB43" s="42">
        <f t="shared" si="12"/>
        <v>10</v>
      </c>
      <c r="BC43" s="43">
        <v>2</v>
      </c>
      <c r="BD43" s="43">
        <v>6</v>
      </c>
      <c r="BE43" s="43">
        <v>2</v>
      </c>
      <c r="BF43" s="42">
        <f t="shared" si="13"/>
        <v>10</v>
      </c>
      <c r="BG43" s="43">
        <v>2</v>
      </c>
      <c r="BH43" s="43">
        <v>4</v>
      </c>
      <c r="BI43" s="43">
        <v>2</v>
      </c>
      <c r="BJ43" s="42">
        <f t="shared" si="14"/>
        <v>8</v>
      </c>
      <c r="BK43" s="42">
        <f t="shared" si="15"/>
        <v>133</v>
      </c>
      <c r="BL43" s="44"/>
      <c r="BM43" s="77"/>
      <c r="BN43" s="79">
        <f t="shared" si="16"/>
        <v>44.333333333333336</v>
      </c>
      <c r="BO43" s="135">
        <v>44</v>
      </c>
    </row>
    <row r="44" spans="1:67" ht="21" customHeight="1" thickBot="1">
      <c r="A44" s="125" t="s">
        <v>51</v>
      </c>
      <c r="B44" s="117" t="s">
        <v>207</v>
      </c>
      <c r="C44" s="42">
        <v>2</v>
      </c>
      <c r="D44" s="42">
        <v>3</v>
      </c>
      <c r="E44" s="42">
        <v>2</v>
      </c>
      <c r="F44" s="42">
        <f t="shared" ref="F44:F48" si="64">C44+D44+E44</f>
        <v>7</v>
      </c>
      <c r="G44" s="43">
        <v>2</v>
      </c>
      <c r="H44" s="43">
        <v>2</v>
      </c>
      <c r="I44" s="43">
        <v>2</v>
      </c>
      <c r="J44" s="42">
        <f t="shared" ref="J44:J48" si="65">G44+H44+I44</f>
        <v>6</v>
      </c>
      <c r="K44" s="43">
        <v>2</v>
      </c>
      <c r="L44" s="43">
        <v>2</v>
      </c>
      <c r="M44" s="43">
        <v>2</v>
      </c>
      <c r="N44" s="42">
        <f t="shared" ref="N44:N48" si="66">K44+L44+M44</f>
        <v>6</v>
      </c>
      <c r="O44" s="43">
        <v>2</v>
      </c>
      <c r="P44" s="43">
        <v>4</v>
      </c>
      <c r="Q44" s="43">
        <v>2</v>
      </c>
      <c r="R44" s="42">
        <f t="shared" ref="R44:R48" si="67">O44+P44+Q44</f>
        <v>8</v>
      </c>
      <c r="S44" s="43">
        <v>2</v>
      </c>
      <c r="T44" s="43">
        <v>6</v>
      </c>
      <c r="U44" s="43">
        <v>2</v>
      </c>
      <c r="V44" s="42">
        <f t="shared" ref="V44:V48" si="68">S44+T44+U44</f>
        <v>10</v>
      </c>
      <c r="W44" s="43">
        <v>2</v>
      </c>
      <c r="X44" s="43">
        <v>2</v>
      </c>
      <c r="Y44" s="43">
        <v>2</v>
      </c>
      <c r="Z44" s="42">
        <f t="shared" ref="Z44:Z48" si="69">W44+X44+Y44</f>
        <v>6</v>
      </c>
      <c r="AA44" s="43">
        <v>2</v>
      </c>
      <c r="AB44" s="43">
        <v>5</v>
      </c>
      <c r="AC44" s="43">
        <v>2</v>
      </c>
      <c r="AD44" s="42">
        <f t="shared" ref="AD44:AD48" si="70">AA44+AB44+AC44</f>
        <v>9</v>
      </c>
      <c r="AE44" s="43">
        <v>2</v>
      </c>
      <c r="AF44" s="43">
        <v>4</v>
      </c>
      <c r="AG44" s="43">
        <v>2</v>
      </c>
      <c r="AH44" s="42">
        <f t="shared" ref="AH44:AH48" si="71">AE44+AF44+AG44</f>
        <v>8</v>
      </c>
      <c r="AI44" s="43">
        <v>2</v>
      </c>
      <c r="AJ44" s="43">
        <v>4</v>
      </c>
      <c r="AK44" s="43">
        <v>2</v>
      </c>
      <c r="AL44" s="42">
        <f t="shared" ref="AL44:AL48" si="72">AI44+AJ44+AK44</f>
        <v>8</v>
      </c>
      <c r="AM44" s="43">
        <v>2</v>
      </c>
      <c r="AN44" s="43">
        <v>2</v>
      </c>
      <c r="AO44" s="43">
        <v>2</v>
      </c>
      <c r="AP44" s="42">
        <f t="shared" ref="AP44:AP48" si="73">AM44+AN44+AO44</f>
        <v>6</v>
      </c>
      <c r="AQ44" s="43">
        <v>2</v>
      </c>
      <c r="AR44" s="43">
        <v>2</v>
      </c>
      <c r="AS44" s="43">
        <v>2</v>
      </c>
      <c r="AT44" s="42">
        <f t="shared" ref="AT44:AT48" si="74">AQ44+AR44+AS44</f>
        <v>6</v>
      </c>
      <c r="AU44" s="43">
        <v>2</v>
      </c>
      <c r="AV44" s="43">
        <v>3</v>
      </c>
      <c r="AW44" s="43">
        <v>2</v>
      </c>
      <c r="AX44" s="42">
        <f t="shared" ref="AX44:AX48" si="75">AU44+AV44+AW44</f>
        <v>7</v>
      </c>
      <c r="AY44" s="43">
        <v>2</v>
      </c>
      <c r="AZ44" s="43">
        <v>5</v>
      </c>
      <c r="BA44" s="43">
        <v>2</v>
      </c>
      <c r="BB44" s="42">
        <f t="shared" ref="BB44:BB48" si="76">AY44+AZ44+BA44</f>
        <v>9</v>
      </c>
      <c r="BC44" s="43">
        <v>2</v>
      </c>
      <c r="BD44" s="43">
        <v>6</v>
      </c>
      <c r="BE44" s="43">
        <v>2</v>
      </c>
      <c r="BF44" s="42">
        <f t="shared" ref="BF44:BF48" si="77">BC44+BD44+BE44</f>
        <v>10</v>
      </c>
      <c r="BG44" s="43">
        <v>2</v>
      </c>
      <c r="BH44" s="43">
        <v>6</v>
      </c>
      <c r="BI44" s="43">
        <v>2</v>
      </c>
      <c r="BJ44" s="42">
        <f t="shared" ref="BJ44:BJ48" si="78">BG44+BH44+BI44</f>
        <v>10</v>
      </c>
      <c r="BK44" s="42">
        <f t="shared" ref="BK44:BK48" si="79">SUM(F44,J44,N44,R44,V44,Z44,AD44,AH44,AL44,AP44,AT44,AX44,BB44,BF44,BJ44)</f>
        <v>116</v>
      </c>
      <c r="BL44" s="44"/>
      <c r="BM44" s="77"/>
      <c r="BN44" s="79">
        <f t="shared" si="16"/>
        <v>38.666666666666664</v>
      </c>
      <c r="BO44" s="135">
        <v>39</v>
      </c>
    </row>
    <row r="45" spans="1:67" ht="21" customHeight="1" thickBot="1">
      <c r="A45" s="127" t="s">
        <v>52</v>
      </c>
      <c r="B45" s="121" t="s">
        <v>208</v>
      </c>
      <c r="C45" s="42">
        <v>2</v>
      </c>
      <c r="D45" s="42">
        <v>3</v>
      </c>
      <c r="E45" s="42">
        <v>2</v>
      </c>
      <c r="F45" s="42">
        <f t="shared" si="64"/>
        <v>7</v>
      </c>
      <c r="G45" s="43">
        <v>2</v>
      </c>
      <c r="H45" s="43">
        <v>2</v>
      </c>
      <c r="I45" s="43">
        <v>2</v>
      </c>
      <c r="J45" s="42">
        <f t="shared" si="65"/>
        <v>6</v>
      </c>
      <c r="K45" s="43">
        <v>2</v>
      </c>
      <c r="L45" s="43">
        <v>2</v>
      </c>
      <c r="M45" s="43">
        <v>2</v>
      </c>
      <c r="N45" s="42">
        <f t="shared" si="66"/>
        <v>6</v>
      </c>
      <c r="O45" s="43">
        <v>2</v>
      </c>
      <c r="P45" s="43">
        <v>4</v>
      </c>
      <c r="Q45" s="43">
        <v>2</v>
      </c>
      <c r="R45" s="42">
        <f t="shared" si="67"/>
        <v>8</v>
      </c>
      <c r="S45" s="43">
        <v>2</v>
      </c>
      <c r="T45" s="43">
        <v>6</v>
      </c>
      <c r="U45" s="43">
        <v>2</v>
      </c>
      <c r="V45" s="42">
        <f t="shared" si="68"/>
        <v>10</v>
      </c>
      <c r="W45" s="43">
        <v>2</v>
      </c>
      <c r="X45" s="43">
        <v>2</v>
      </c>
      <c r="Y45" s="43">
        <v>2</v>
      </c>
      <c r="Z45" s="42">
        <f t="shared" si="69"/>
        <v>6</v>
      </c>
      <c r="AA45" s="43">
        <v>2</v>
      </c>
      <c r="AB45" s="43">
        <v>5</v>
      </c>
      <c r="AC45" s="43">
        <v>2</v>
      </c>
      <c r="AD45" s="42">
        <f t="shared" si="70"/>
        <v>9</v>
      </c>
      <c r="AE45" s="43">
        <v>2</v>
      </c>
      <c r="AF45" s="43">
        <v>4</v>
      </c>
      <c r="AG45" s="43">
        <v>2</v>
      </c>
      <c r="AH45" s="42">
        <f t="shared" si="71"/>
        <v>8</v>
      </c>
      <c r="AI45" s="43">
        <v>2</v>
      </c>
      <c r="AJ45" s="43">
        <v>4</v>
      </c>
      <c r="AK45" s="43">
        <v>2</v>
      </c>
      <c r="AL45" s="42">
        <f t="shared" si="72"/>
        <v>8</v>
      </c>
      <c r="AM45" s="43">
        <v>2</v>
      </c>
      <c r="AN45" s="43">
        <v>2</v>
      </c>
      <c r="AO45" s="43">
        <v>2</v>
      </c>
      <c r="AP45" s="42">
        <f t="shared" si="73"/>
        <v>6</v>
      </c>
      <c r="AQ45" s="43">
        <v>2</v>
      </c>
      <c r="AR45" s="43">
        <v>2</v>
      </c>
      <c r="AS45" s="43">
        <v>2</v>
      </c>
      <c r="AT45" s="42">
        <f t="shared" si="74"/>
        <v>6</v>
      </c>
      <c r="AU45" s="43">
        <v>2</v>
      </c>
      <c r="AV45" s="43">
        <v>5</v>
      </c>
      <c r="AW45" s="43">
        <v>2</v>
      </c>
      <c r="AX45" s="42">
        <f t="shared" si="75"/>
        <v>9</v>
      </c>
      <c r="AY45" s="43">
        <v>2</v>
      </c>
      <c r="AZ45" s="43">
        <v>5</v>
      </c>
      <c r="BA45" s="43">
        <v>2</v>
      </c>
      <c r="BB45" s="42">
        <f t="shared" si="76"/>
        <v>9</v>
      </c>
      <c r="BC45" s="43">
        <v>2</v>
      </c>
      <c r="BD45" s="43">
        <v>6</v>
      </c>
      <c r="BE45" s="43">
        <v>2</v>
      </c>
      <c r="BF45" s="42">
        <f t="shared" si="77"/>
        <v>10</v>
      </c>
      <c r="BG45" s="43">
        <v>2</v>
      </c>
      <c r="BH45" s="43">
        <v>6</v>
      </c>
      <c r="BI45" s="43">
        <v>2</v>
      </c>
      <c r="BJ45" s="42">
        <f t="shared" si="78"/>
        <v>10</v>
      </c>
      <c r="BK45" s="42">
        <f t="shared" si="79"/>
        <v>118</v>
      </c>
      <c r="BL45" s="44"/>
      <c r="BM45" s="77"/>
      <c r="BN45" s="79">
        <f t="shared" si="16"/>
        <v>39.333333333333329</v>
      </c>
      <c r="BO45" s="135">
        <v>40</v>
      </c>
    </row>
    <row r="46" spans="1:67" ht="21" customHeight="1" thickBot="1">
      <c r="A46" s="128" t="s">
        <v>53</v>
      </c>
      <c r="B46" s="122" t="s">
        <v>209</v>
      </c>
      <c r="C46" s="42"/>
      <c r="D46" s="42"/>
      <c r="E46" s="42"/>
      <c r="F46" s="42"/>
      <c r="G46" s="43"/>
      <c r="H46" s="43"/>
      <c r="I46" s="43"/>
      <c r="J46" s="42"/>
      <c r="K46" s="43"/>
      <c r="L46" s="43"/>
      <c r="M46" s="43"/>
      <c r="N46" s="42"/>
      <c r="O46" s="43"/>
      <c r="P46" s="43"/>
      <c r="Q46" s="43"/>
      <c r="R46" s="42"/>
      <c r="S46" s="43"/>
      <c r="T46" s="43"/>
      <c r="U46" s="43"/>
      <c r="V46" s="42"/>
      <c r="W46" s="43"/>
      <c r="X46" s="43"/>
      <c r="Y46" s="43"/>
      <c r="Z46" s="42"/>
      <c r="AA46" s="43"/>
      <c r="AB46" s="43"/>
      <c r="AC46" s="43"/>
      <c r="AD46" s="42"/>
      <c r="AE46" s="43"/>
      <c r="AF46" s="43"/>
      <c r="AG46" s="43"/>
      <c r="AH46" s="42"/>
      <c r="AI46" s="43"/>
      <c r="AJ46" s="43"/>
      <c r="AK46" s="43"/>
      <c r="AL46" s="42"/>
      <c r="AM46" s="43"/>
      <c r="AN46" s="43"/>
      <c r="AO46" s="43"/>
      <c r="AP46" s="42"/>
      <c r="AQ46" s="43"/>
      <c r="AR46" s="43"/>
      <c r="AS46" s="43"/>
      <c r="AT46" s="42"/>
      <c r="AU46" s="43"/>
      <c r="AV46" s="43"/>
      <c r="AW46" s="43"/>
      <c r="AX46" s="42"/>
      <c r="AY46" s="43"/>
      <c r="AZ46" s="43"/>
      <c r="BA46" s="43"/>
      <c r="BB46" s="42"/>
      <c r="BC46" s="43"/>
      <c r="BD46" s="43"/>
      <c r="BE46" s="43"/>
      <c r="BF46" s="42"/>
      <c r="BG46" s="43"/>
      <c r="BH46" s="43"/>
      <c r="BI46" s="43"/>
      <c r="BJ46" s="42"/>
      <c r="BK46" s="42"/>
      <c r="BL46" s="44"/>
      <c r="BM46" s="77"/>
      <c r="BN46" s="79"/>
      <c r="BO46" s="142"/>
    </row>
    <row r="47" spans="1:67" ht="21" customHeight="1" thickBot="1">
      <c r="A47" s="129" t="s">
        <v>54</v>
      </c>
      <c r="B47" s="123" t="s">
        <v>210</v>
      </c>
      <c r="C47" s="42">
        <v>2</v>
      </c>
      <c r="D47" s="42">
        <v>3</v>
      </c>
      <c r="E47" s="42">
        <v>2</v>
      </c>
      <c r="F47" s="42">
        <f t="shared" si="64"/>
        <v>7</v>
      </c>
      <c r="G47" s="43">
        <v>2</v>
      </c>
      <c r="H47" s="43">
        <v>2</v>
      </c>
      <c r="I47" s="43">
        <v>2</v>
      </c>
      <c r="J47" s="42">
        <f t="shared" si="65"/>
        <v>6</v>
      </c>
      <c r="K47" s="43">
        <v>2</v>
      </c>
      <c r="L47" s="43">
        <v>2</v>
      </c>
      <c r="M47" s="43">
        <v>2</v>
      </c>
      <c r="N47" s="42">
        <f t="shared" si="66"/>
        <v>6</v>
      </c>
      <c r="O47" s="43">
        <v>2</v>
      </c>
      <c r="P47" s="43">
        <v>4</v>
      </c>
      <c r="Q47" s="43">
        <v>2</v>
      </c>
      <c r="R47" s="42">
        <f t="shared" si="67"/>
        <v>8</v>
      </c>
      <c r="S47" s="43">
        <v>2</v>
      </c>
      <c r="T47" s="43">
        <v>6</v>
      </c>
      <c r="U47" s="43">
        <v>2</v>
      </c>
      <c r="V47" s="42">
        <f t="shared" si="68"/>
        <v>10</v>
      </c>
      <c r="W47" s="43">
        <v>2</v>
      </c>
      <c r="X47" s="43">
        <v>2</v>
      </c>
      <c r="Y47" s="43">
        <v>2</v>
      </c>
      <c r="Z47" s="42">
        <f t="shared" si="69"/>
        <v>6</v>
      </c>
      <c r="AA47" s="43">
        <v>2</v>
      </c>
      <c r="AB47" s="43">
        <v>5</v>
      </c>
      <c r="AC47" s="43">
        <v>2</v>
      </c>
      <c r="AD47" s="42">
        <f t="shared" si="70"/>
        <v>9</v>
      </c>
      <c r="AE47" s="43">
        <v>2</v>
      </c>
      <c r="AF47" s="43">
        <v>4</v>
      </c>
      <c r="AG47" s="43">
        <v>2</v>
      </c>
      <c r="AH47" s="42">
        <f t="shared" si="71"/>
        <v>8</v>
      </c>
      <c r="AI47" s="43">
        <v>2</v>
      </c>
      <c r="AJ47" s="43">
        <v>4</v>
      </c>
      <c r="AK47" s="43">
        <v>2</v>
      </c>
      <c r="AL47" s="42">
        <f t="shared" si="72"/>
        <v>8</v>
      </c>
      <c r="AM47" s="43">
        <v>2</v>
      </c>
      <c r="AN47" s="43">
        <v>2</v>
      </c>
      <c r="AO47" s="43">
        <v>2</v>
      </c>
      <c r="AP47" s="42">
        <f t="shared" si="73"/>
        <v>6</v>
      </c>
      <c r="AQ47" s="43">
        <v>2</v>
      </c>
      <c r="AR47" s="43">
        <v>2</v>
      </c>
      <c r="AS47" s="43">
        <v>2</v>
      </c>
      <c r="AT47" s="42">
        <f t="shared" si="74"/>
        <v>6</v>
      </c>
      <c r="AU47" s="43">
        <v>2</v>
      </c>
      <c r="AV47" s="43">
        <v>3</v>
      </c>
      <c r="AW47" s="43">
        <v>2</v>
      </c>
      <c r="AX47" s="42">
        <f t="shared" si="75"/>
        <v>7</v>
      </c>
      <c r="AY47" s="43">
        <v>2</v>
      </c>
      <c r="AZ47" s="43">
        <v>5</v>
      </c>
      <c r="BA47" s="43">
        <v>2</v>
      </c>
      <c r="BB47" s="42">
        <f t="shared" si="76"/>
        <v>9</v>
      </c>
      <c r="BC47" s="43">
        <v>2</v>
      </c>
      <c r="BD47" s="43">
        <v>6</v>
      </c>
      <c r="BE47" s="43">
        <v>2</v>
      </c>
      <c r="BF47" s="42">
        <f t="shared" si="77"/>
        <v>10</v>
      </c>
      <c r="BG47" s="43">
        <v>2</v>
      </c>
      <c r="BH47" s="43">
        <v>4</v>
      </c>
      <c r="BI47" s="43">
        <v>2</v>
      </c>
      <c r="BJ47" s="42">
        <f t="shared" si="78"/>
        <v>8</v>
      </c>
      <c r="BK47" s="42">
        <f t="shared" si="79"/>
        <v>114</v>
      </c>
      <c r="BL47" s="44"/>
      <c r="BM47" s="77"/>
      <c r="BN47" s="79">
        <f t="shared" si="16"/>
        <v>38</v>
      </c>
      <c r="BO47" s="135">
        <v>38</v>
      </c>
    </row>
    <row r="48" spans="1:67" ht="21" customHeight="1" thickBot="1">
      <c r="A48" s="129" t="s">
        <v>55</v>
      </c>
      <c r="B48" s="123" t="s">
        <v>211</v>
      </c>
      <c r="C48" s="42">
        <v>2</v>
      </c>
      <c r="D48" s="42">
        <v>3</v>
      </c>
      <c r="E48" s="42">
        <v>2</v>
      </c>
      <c r="F48" s="42">
        <f t="shared" si="64"/>
        <v>7</v>
      </c>
      <c r="G48" s="43">
        <v>2</v>
      </c>
      <c r="H48" s="43">
        <v>2</v>
      </c>
      <c r="I48" s="43">
        <v>2</v>
      </c>
      <c r="J48" s="42">
        <f t="shared" si="65"/>
        <v>6</v>
      </c>
      <c r="K48" s="43">
        <v>2</v>
      </c>
      <c r="L48" s="43">
        <v>2</v>
      </c>
      <c r="M48" s="43">
        <v>2</v>
      </c>
      <c r="N48" s="42">
        <f t="shared" si="66"/>
        <v>6</v>
      </c>
      <c r="O48" s="43">
        <v>2</v>
      </c>
      <c r="P48" s="43">
        <v>4</v>
      </c>
      <c r="Q48" s="43">
        <v>2</v>
      </c>
      <c r="R48" s="42">
        <f t="shared" si="67"/>
        <v>8</v>
      </c>
      <c r="S48" s="43">
        <v>2</v>
      </c>
      <c r="T48" s="43">
        <v>6</v>
      </c>
      <c r="U48" s="43">
        <v>2</v>
      </c>
      <c r="V48" s="42">
        <f t="shared" si="68"/>
        <v>10</v>
      </c>
      <c r="W48" s="43">
        <v>2</v>
      </c>
      <c r="X48" s="43">
        <v>2</v>
      </c>
      <c r="Y48" s="43">
        <v>2</v>
      </c>
      <c r="Z48" s="42">
        <f t="shared" si="69"/>
        <v>6</v>
      </c>
      <c r="AA48" s="43">
        <v>2</v>
      </c>
      <c r="AB48" s="43">
        <v>5</v>
      </c>
      <c r="AC48" s="43">
        <v>2</v>
      </c>
      <c r="AD48" s="42">
        <f t="shared" si="70"/>
        <v>9</v>
      </c>
      <c r="AE48" s="43">
        <v>2</v>
      </c>
      <c r="AF48" s="43">
        <v>4</v>
      </c>
      <c r="AG48" s="43">
        <v>2</v>
      </c>
      <c r="AH48" s="42">
        <f t="shared" si="71"/>
        <v>8</v>
      </c>
      <c r="AI48" s="43">
        <v>2</v>
      </c>
      <c r="AJ48" s="43">
        <v>4</v>
      </c>
      <c r="AK48" s="43">
        <v>2</v>
      </c>
      <c r="AL48" s="42">
        <f t="shared" si="72"/>
        <v>8</v>
      </c>
      <c r="AM48" s="43">
        <v>2</v>
      </c>
      <c r="AN48" s="43">
        <v>2</v>
      </c>
      <c r="AO48" s="43">
        <v>2</v>
      </c>
      <c r="AP48" s="42">
        <f t="shared" si="73"/>
        <v>6</v>
      </c>
      <c r="AQ48" s="43">
        <v>2</v>
      </c>
      <c r="AR48" s="43">
        <v>2</v>
      </c>
      <c r="AS48" s="43">
        <v>2</v>
      </c>
      <c r="AT48" s="42">
        <f t="shared" si="74"/>
        <v>6</v>
      </c>
      <c r="AU48" s="43">
        <v>2</v>
      </c>
      <c r="AV48" s="43">
        <v>3</v>
      </c>
      <c r="AW48" s="43">
        <v>2</v>
      </c>
      <c r="AX48" s="42">
        <f t="shared" si="75"/>
        <v>7</v>
      </c>
      <c r="AY48" s="43">
        <v>2</v>
      </c>
      <c r="AZ48" s="43">
        <v>3</v>
      </c>
      <c r="BA48" s="43">
        <v>2</v>
      </c>
      <c r="BB48" s="42">
        <f t="shared" si="76"/>
        <v>7</v>
      </c>
      <c r="BC48" s="43">
        <v>2</v>
      </c>
      <c r="BD48" s="43">
        <v>6</v>
      </c>
      <c r="BE48" s="43">
        <v>2</v>
      </c>
      <c r="BF48" s="42">
        <f t="shared" si="77"/>
        <v>10</v>
      </c>
      <c r="BG48" s="43">
        <v>1</v>
      </c>
      <c r="BH48" s="43">
        <v>6</v>
      </c>
      <c r="BI48" s="43">
        <v>1</v>
      </c>
      <c r="BJ48" s="42">
        <f t="shared" si="78"/>
        <v>8</v>
      </c>
      <c r="BK48" s="42">
        <f t="shared" si="79"/>
        <v>112</v>
      </c>
      <c r="BL48" s="44"/>
      <c r="BM48" s="77"/>
      <c r="BN48" s="79">
        <f t="shared" si="16"/>
        <v>37.333333333333336</v>
      </c>
      <c r="BO48" s="135">
        <v>37</v>
      </c>
    </row>
    <row r="49" spans="1:67" ht="21" customHeight="1" thickBot="1">
      <c r="A49" s="129" t="s">
        <v>56</v>
      </c>
      <c r="B49" s="123" t="s">
        <v>212</v>
      </c>
      <c r="C49" s="42">
        <v>2</v>
      </c>
      <c r="D49" s="42">
        <v>5</v>
      </c>
      <c r="E49" s="42">
        <v>2</v>
      </c>
      <c r="F49" s="42">
        <f t="shared" si="0"/>
        <v>9</v>
      </c>
      <c r="G49" s="43">
        <v>2</v>
      </c>
      <c r="H49" s="43">
        <v>2</v>
      </c>
      <c r="I49" s="43">
        <v>2</v>
      </c>
      <c r="J49" s="42">
        <f t="shared" si="1"/>
        <v>6</v>
      </c>
      <c r="K49" s="43">
        <v>2</v>
      </c>
      <c r="L49" s="43">
        <v>4</v>
      </c>
      <c r="M49" s="43">
        <v>2</v>
      </c>
      <c r="N49" s="42">
        <f t="shared" si="2"/>
        <v>8</v>
      </c>
      <c r="O49" s="43">
        <v>2</v>
      </c>
      <c r="P49" s="43">
        <v>4</v>
      </c>
      <c r="Q49" s="43">
        <v>2</v>
      </c>
      <c r="R49" s="42">
        <f t="shared" si="3"/>
        <v>8</v>
      </c>
      <c r="S49" s="43">
        <v>2</v>
      </c>
      <c r="T49" s="43">
        <v>6</v>
      </c>
      <c r="U49" s="43">
        <v>2</v>
      </c>
      <c r="V49" s="42">
        <f t="shared" si="4"/>
        <v>10</v>
      </c>
      <c r="W49" s="43">
        <v>2</v>
      </c>
      <c r="X49" s="43">
        <v>4</v>
      </c>
      <c r="Y49" s="43">
        <v>2</v>
      </c>
      <c r="Z49" s="42">
        <f t="shared" si="5"/>
        <v>8</v>
      </c>
      <c r="AA49" s="43">
        <v>2</v>
      </c>
      <c r="AB49" s="43">
        <v>5</v>
      </c>
      <c r="AC49" s="43">
        <v>2</v>
      </c>
      <c r="AD49" s="42">
        <f t="shared" si="6"/>
        <v>9</v>
      </c>
      <c r="AE49" s="43">
        <v>2</v>
      </c>
      <c r="AF49" s="43">
        <v>4</v>
      </c>
      <c r="AG49" s="43">
        <v>2</v>
      </c>
      <c r="AH49" s="42">
        <f t="shared" si="7"/>
        <v>8</v>
      </c>
      <c r="AI49" s="43">
        <v>2</v>
      </c>
      <c r="AJ49" s="43">
        <v>6</v>
      </c>
      <c r="AK49" s="43">
        <v>2</v>
      </c>
      <c r="AL49" s="42">
        <f t="shared" si="8"/>
        <v>10</v>
      </c>
      <c r="AM49" s="43">
        <v>1</v>
      </c>
      <c r="AN49" s="43">
        <v>3</v>
      </c>
      <c r="AO49" s="43">
        <v>1</v>
      </c>
      <c r="AP49" s="42">
        <f t="shared" si="9"/>
        <v>5</v>
      </c>
      <c r="AQ49" s="43">
        <v>2</v>
      </c>
      <c r="AR49" s="43">
        <v>3</v>
      </c>
      <c r="AS49" s="43">
        <v>2</v>
      </c>
      <c r="AT49" s="42">
        <f t="shared" si="10"/>
        <v>7</v>
      </c>
      <c r="AU49" s="43">
        <v>1</v>
      </c>
      <c r="AV49" s="43">
        <v>3</v>
      </c>
      <c r="AW49" s="43">
        <v>2</v>
      </c>
      <c r="AX49" s="42">
        <f t="shared" si="11"/>
        <v>6</v>
      </c>
      <c r="AY49" s="43">
        <v>2</v>
      </c>
      <c r="AZ49" s="43">
        <v>4</v>
      </c>
      <c r="BA49" s="43">
        <v>2</v>
      </c>
      <c r="BB49" s="42">
        <f t="shared" si="12"/>
        <v>8</v>
      </c>
      <c r="BC49" s="43">
        <v>1</v>
      </c>
      <c r="BD49" s="43">
        <v>3</v>
      </c>
      <c r="BE49" s="43">
        <v>2</v>
      </c>
      <c r="BF49" s="42">
        <f t="shared" si="13"/>
        <v>6</v>
      </c>
      <c r="BG49" s="43">
        <v>2</v>
      </c>
      <c r="BH49" s="43">
        <v>6</v>
      </c>
      <c r="BI49" s="43">
        <v>2</v>
      </c>
      <c r="BJ49" s="42">
        <f t="shared" si="14"/>
        <v>10</v>
      </c>
      <c r="BK49" s="42">
        <f t="shared" si="15"/>
        <v>118</v>
      </c>
      <c r="BL49" s="44"/>
      <c r="BM49" s="77"/>
      <c r="BN49" s="79">
        <f t="shared" si="16"/>
        <v>39.333333333333329</v>
      </c>
      <c r="BO49" s="135">
        <v>39</v>
      </c>
    </row>
    <row r="50" spans="1:67" ht="21" customHeight="1" thickBot="1">
      <c r="A50" s="129" t="s">
        <v>57</v>
      </c>
      <c r="B50" s="123" t="s">
        <v>213</v>
      </c>
      <c r="C50" s="42">
        <v>2</v>
      </c>
      <c r="D50" s="42">
        <v>5</v>
      </c>
      <c r="E50" s="42">
        <v>2</v>
      </c>
      <c r="F50" s="42">
        <f t="shared" si="0"/>
        <v>9</v>
      </c>
      <c r="G50" s="43">
        <v>2</v>
      </c>
      <c r="H50" s="43">
        <v>2</v>
      </c>
      <c r="I50" s="43">
        <v>2</v>
      </c>
      <c r="J50" s="42">
        <f t="shared" si="1"/>
        <v>6</v>
      </c>
      <c r="K50" s="43">
        <v>2</v>
      </c>
      <c r="L50" s="43">
        <v>2</v>
      </c>
      <c r="M50" s="43">
        <v>2</v>
      </c>
      <c r="N50" s="42">
        <f t="shared" si="2"/>
        <v>6</v>
      </c>
      <c r="O50" s="43">
        <v>2</v>
      </c>
      <c r="P50" s="43">
        <v>4</v>
      </c>
      <c r="Q50" s="43">
        <v>2</v>
      </c>
      <c r="R50" s="42">
        <f t="shared" si="3"/>
        <v>8</v>
      </c>
      <c r="S50" s="43">
        <v>2</v>
      </c>
      <c r="T50" s="43">
        <v>4</v>
      </c>
      <c r="U50" s="43">
        <v>2</v>
      </c>
      <c r="V50" s="42">
        <f t="shared" si="4"/>
        <v>8</v>
      </c>
      <c r="W50" s="43">
        <v>2</v>
      </c>
      <c r="X50" s="43">
        <v>4</v>
      </c>
      <c r="Y50" s="43">
        <v>2</v>
      </c>
      <c r="Z50" s="42">
        <f t="shared" si="5"/>
        <v>8</v>
      </c>
      <c r="AA50" s="43">
        <v>2</v>
      </c>
      <c r="AB50" s="43">
        <v>5</v>
      </c>
      <c r="AC50" s="43">
        <v>2</v>
      </c>
      <c r="AD50" s="42">
        <f t="shared" si="6"/>
        <v>9</v>
      </c>
      <c r="AE50" s="43">
        <v>1</v>
      </c>
      <c r="AF50" s="43">
        <v>5</v>
      </c>
      <c r="AG50" s="43">
        <v>2</v>
      </c>
      <c r="AH50" s="42">
        <f t="shared" si="7"/>
        <v>8</v>
      </c>
      <c r="AI50" s="43">
        <v>1</v>
      </c>
      <c r="AJ50" s="43">
        <v>4</v>
      </c>
      <c r="AK50" s="43">
        <v>2</v>
      </c>
      <c r="AL50" s="42">
        <f t="shared" si="8"/>
        <v>7</v>
      </c>
      <c r="AM50" s="43">
        <v>1</v>
      </c>
      <c r="AN50" s="43">
        <v>5</v>
      </c>
      <c r="AO50" s="43">
        <v>1</v>
      </c>
      <c r="AP50" s="42">
        <f t="shared" si="9"/>
        <v>7</v>
      </c>
      <c r="AQ50" s="43">
        <v>1</v>
      </c>
      <c r="AR50" s="43">
        <v>4</v>
      </c>
      <c r="AS50" s="43">
        <v>2</v>
      </c>
      <c r="AT50" s="42">
        <f t="shared" si="10"/>
        <v>7</v>
      </c>
      <c r="AU50" s="43">
        <v>2</v>
      </c>
      <c r="AV50" s="43">
        <v>5</v>
      </c>
      <c r="AW50" s="43">
        <v>2</v>
      </c>
      <c r="AX50" s="42">
        <f t="shared" si="11"/>
        <v>9</v>
      </c>
      <c r="AY50" s="43">
        <v>2</v>
      </c>
      <c r="AZ50" s="43">
        <v>5</v>
      </c>
      <c r="BA50" s="43">
        <v>2</v>
      </c>
      <c r="BB50" s="42">
        <f t="shared" si="12"/>
        <v>9</v>
      </c>
      <c r="BC50" s="43">
        <v>2</v>
      </c>
      <c r="BD50" s="43">
        <v>5</v>
      </c>
      <c r="BE50" s="43">
        <v>2</v>
      </c>
      <c r="BF50" s="42">
        <f t="shared" si="13"/>
        <v>9</v>
      </c>
      <c r="BG50" s="43">
        <v>2</v>
      </c>
      <c r="BH50" s="43">
        <v>5</v>
      </c>
      <c r="BI50" s="43">
        <v>2</v>
      </c>
      <c r="BJ50" s="42">
        <f t="shared" si="14"/>
        <v>9</v>
      </c>
      <c r="BK50" s="42">
        <f t="shared" si="15"/>
        <v>119</v>
      </c>
      <c r="BL50" s="44"/>
      <c r="BM50" s="77"/>
      <c r="BN50" s="79">
        <f t="shared" si="16"/>
        <v>39.666666666666664</v>
      </c>
      <c r="BO50" s="135">
        <v>40</v>
      </c>
    </row>
    <row r="51" spans="1:67" ht="21" customHeight="1" thickBot="1">
      <c r="A51" s="129" t="s">
        <v>58</v>
      </c>
      <c r="B51" s="123" t="s">
        <v>214</v>
      </c>
      <c r="C51" s="42">
        <v>2</v>
      </c>
      <c r="D51" s="42">
        <v>3</v>
      </c>
      <c r="E51" s="42">
        <v>2</v>
      </c>
      <c r="F51" s="42">
        <f t="shared" si="0"/>
        <v>7</v>
      </c>
      <c r="G51" s="43">
        <v>2</v>
      </c>
      <c r="H51" s="43">
        <v>2</v>
      </c>
      <c r="I51" s="43">
        <v>2</v>
      </c>
      <c r="J51" s="42">
        <f t="shared" si="1"/>
        <v>6</v>
      </c>
      <c r="K51" s="43">
        <v>2</v>
      </c>
      <c r="L51" s="43">
        <v>2</v>
      </c>
      <c r="M51" s="43">
        <v>2</v>
      </c>
      <c r="N51" s="42">
        <f t="shared" si="2"/>
        <v>6</v>
      </c>
      <c r="O51" s="43">
        <v>2</v>
      </c>
      <c r="P51" s="43">
        <v>4</v>
      </c>
      <c r="Q51" s="43">
        <v>2</v>
      </c>
      <c r="R51" s="42">
        <f t="shared" si="3"/>
        <v>8</v>
      </c>
      <c r="S51" s="43">
        <v>2</v>
      </c>
      <c r="T51" s="43">
        <v>6</v>
      </c>
      <c r="U51" s="43">
        <v>2</v>
      </c>
      <c r="V51" s="42">
        <f t="shared" si="4"/>
        <v>10</v>
      </c>
      <c r="W51" s="43">
        <v>2</v>
      </c>
      <c r="X51" s="43">
        <v>2</v>
      </c>
      <c r="Y51" s="43">
        <v>2</v>
      </c>
      <c r="Z51" s="42">
        <f t="shared" si="5"/>
        <v>6</v>
      </c>
      <c r="AA51" s="43">
        <v>2</v>
      </c>
      <c r="AB51" s="43">
        <v>5</v>
      </c>
      <c r="AC51" s="43">
        <v>2</v>
      </c>
      <c r="AD51" s="42">
        <f t="shared" si="6"/>
        <v>9</v>
      </c>
      <c r="AE51" s="43">
        <v>2</v>
      </c>
      <c r="AF51" s="43">
        <v>4</v>
      </c>
      <c r="AG51" s="43">
        <v>2</v>
      </c>
      <c r="AH51" s="42">
        <f t="shared" si="7"/>
        <v>8</v>
      </c>
      <c r="AI51" s="43">
        <v>2</v>
      </c>
      <c r="AJ51" s="43">
        <v>4</v>
      </c>
      <c r="AK51" s="43">
        <v>2</v>
      </c>
      <c r="AL51" s="42">
        <f t="shared" si="8"/>
        <v>8</v>
      </c>
      <c r="AM51" s="43">
        <v>2</v>
      </c>
      <c r="AN51" s="43">
        <v>2</v>
      </c>
      <c r="AO51" s="43">
        <v>2</v>
      </c>
      <c r="AP51" s="42">
        <f t="shared" si="9"/>
        <v>6</v>
      </c>
      <c r="AQ51" s="43">
        <v>2</v>
      </c>
      <c r="AR51" s="43">
        <v>5</v>
      </c>
      <c r="AS51" s="43">
        <v>2</v>
      </c>
      <c r="AT51" s="42">
        <f t="shared" si="10"/>
        <v>9</v>
      </c>
      <c r="AU51" s="43">
        <v>2</v>
      </c>
      <c r="AV51" s="43">
        <v>2</v>
      </c>
      <c r="AW51" s="43">
        <v>2</v>
      </c>
      <c r="AX51" s="42">
        <f t="shared" si="11"/>
        <v>6</v>
      </c>
      <c r="AY51" s="43">
        <v>2</v>
      </c>
      <c r="AZ51" s="43">
        <v>6</v>
      </c>
      <c r="BA51" s="43">
        <v>2</v>
      </c>
      <c r="BB51" s="42">
        <f t="shared" si="12"/>
        <v>10</v>
      </c>
      <c r="BC51" s="43">
        <v>2</v>
      </c>
      <c r="BD51" s="43">
        <v>6</v>
      </c>
      <c r="BE51" s="43">
        <v>2</v>
      </c>
      <c r="BF51" s="42">
        <f t="shared" si="13"/>
        <v>10</v>
      </c>
      <c r="BG51" s="43">
        <v>2</v>
      </c>
      <c r="BH51" s="43">
        <v>6</v>
      </c>
      <c r="BI51" s="43">
        <v>2</v>
      </c>
      <c r="BJ51" s="42">
        <f t="shared" si="14"/>
        <v>10</v>
      </c>
      <c r="BK51" s="42">
        <f t="shared" si="15"/>
        <v>119</v>
      </c>
      <c r="BL51" s="44"/>
      <c r="BM51" s="77"/>
      <c r="BN51" s="79">
        <f t="shared" si="16"/>
        <v>39.666666666666664</v>
      </c>
      <c r="BO51" s="135">
        <v>40</v>
      </c>
    </row>
    <row r="52" spans="1:67" ht="21" customHeight="1" thickBot="1">
      <c r="A52" s="129" t="s">
        <v>59</v>
      </c>
      <c r="B52" s="124" t="s">
        <v>215</v>
      </c>
      <c r="C52" s="42">
        <v>2</v>
      </c>
      <c r="D52" s="42">
        <v>3</v>
      </c>
      <c r="E52" s="42">
        <v>2</v>
      </c>
      <c r="F52" s="42">
        <f t="shared" si="0"/>
        <v>7</v>
      </c>
      <c r="G52" s="43">
        <v>2</v>
      </c>
      <c r="H52" s="43">
        <v>2</v>
      </c>
      <c r="I52" s="43">
        <v>2</v>
      </c>
      <c r="J52" s="42">
        <f t="shared" si="1"/>
        <v>6</v>
      </c>
      <c r="K52" s="43">
        <v>2</v>
      </c>
      <c r="L52" s="43">
        <v>2</v>
      </c>
      <c r="M52" s="43">
        <v>2</v>
      </c>
      <c r="N52" s="42">
        <f t="shared" si="2"/>
        <v>6</v>
      </c>
      <c r="O52" s="43">
        <v>2</v>
      </c>
      <c r="P52" s="43">
        <v>4</v>
      </c>
      <c r="Q52" s="43">
        <v>2</v>
      </c>
      <c r="R52" s="42">
        <f t="shared" si="3"/>
        <v>8</v>
      </c>
      <c r="S52" s="43">
        <v>2</v>
      </c>
      <c r="T52" s="43">
        <v>4</v>
      </c>
      <c r="U52" s="43">
        <v>2</v>
      </c>
      <c r="V52" s="42">
        <f t="shared" si="4"/>
        <v>8</v>
      </c>
      <c r="W52" s="43">
        <v>2</v>
      </c>
      <c r="X52" s="43">
        <v>4</v>
      </c>
      <c r="Y52" s="43">
        <v>2</v>
      </c>
      <c r="Z52" s="42">
        <f t="shared" si="5"/>
        <v>8</v>
      </c>
      <c r="AA52" s="43">
        <v>2</v>
      </c>
      <c r="AB52" s="43">
        <v>5</v>
      </c>
      <c r="AC52" s="43">
        <v>2</v>
      </c>
      <c r="AD52" s="42">
        <f t="shared" si="6"/>
        <v>9</v>
      </c>
      <c r="AE52" s="43">
        <v>2</v>
      </c>
      <c r="AF52" s="43">
        <v>6</v>
      </c>
      <c r="AG52" s="43">
        <v>2</v>
      </c>
      <c r="AH52" s="42">
        <f t="shared" si="7"/>
        <v>10</v>
      </c>
      <c r="AI52" s="43">
        <v>2</v>
      </c>
      <c r="AJ52" s="43">
        <v>5</v>
      </c>
      <c r="AK52" s="43">
        <v>2</v>
      </c>
      <c r="AL52" s="42">
        <f t="shared" si="8"/>
        <v>9</v>
      </c>
      <c r="AM52" s="43">
        <v>2</v>
      </c>
      <c r="AN52" s="43">
        <v>5</v>
      </c>
      <c r="AO52" s="43">
        <v>2</v>
      </c>
      <c r="AP52" s="42">
        <f t="shared" si="9"/>
        <v>9</v>
      </c>
      <c r="AQ52" s="43">
        <v>2</v>
      </c>
      <c r="AR52" s="43">
        <v>2</v>
      </c>
      <c r="AS52" s="43">
        <v>2</v>
      </c>
      <c r="AT52" s="42">
        <f t="shared" si="10"/>
        <v>6</v>
      </c>
      <c r="AU52" s="43">
        <v>2</v>
      </c>
      <c r="AV52" s="43">
        <v>5</v>
      </c>
      <c r="AW52" s="43">
        <v>2</v>
      </c>
      <c r="AX52" s="42">
        <f t="shared" si="11"/>
        <v>9</v>
      </c>
      <c r="AY52" s="43">
        <v>2</v>
      </c>
      <c r="AZ52" s="43">
        <v>5</v>
      </c>
      <c r="BA52" s="43">
        <v>2</v>
      </c>
      <c r="BB52" s="42">
        <f t="shared" si="12"/>
        <v>9</v>
      </c>
      <c r="BC52" s="43">
        <v>2</v>
      </c>
      <c r="BD52" s="43">
        <v>5</v>
      </c>
      <c r="BE52" s="43">
        <v>2</v>
      </c>
      <c r="BF52" s="42">
        <f t="shared" si="13"/>
        <v>9</v>
      </c>
      <c r="BG52" s="43">
        <v>2</v>
      </c>
      <c r="BH52" s="43">
        <v>5</v>
      </c>
      <c r="BI52" s="43">
        <v>2</v>
      </c>
      <c r="BJ52" s="42">
        <f t="shared" si="14"/>
        <v>9</v>
      </c>
      <c r="BK52" s="42">
        <f t="shared" si="15"/>
        <v>122</v>
      </c>
      <c r="BL52" s="44"/>
      <c r="BM52" s="77"/>
      <c r="BN52" s="79">
        <f t="shared" si="16"/>
        <v>40.666666666666664</v>
      </c>
      <c r="BO52" s="135">
        <v>41</v>
      </c>
    </row>
    <row r="53" spans="1:67" ht="21" customHeight="1" thickBot="1">
      <c r="A53" s="129" t="s">
        <v>60</v>
      </c>
      <c r="B53" s="123" t="s">
        <v>216</v>
      </c>
      <c r="C53" s="42">
        <v>2</v>
      </c>
      <c r="D53" s="42">
        <v>3</v>
      </c>
      <c r="E53" s="42">
        <v>2</v>
      </c>
      <c r="F53" s="42">
        <f t="shared" si="0"/>
        <v>7</v>
      </c>
      <c r="G53" s="43">
        <v>2</v>
      </c>
      <c r="H53" s="43">
        <v>2</v>
      </c>
      <c r="I53" s="43">
        <v>2</v>
      </c>
      <c r="J53" s="42">
        <f t="shared" si="1"/>
        <v>6</v>
      </c>
      <c r="K53" s="43">
        <v>2</v>
      </c>
      <c r="L53" s="43">
        <v>2</v>
      </c>
      <c r="M53" s="43">
        <v>2</v>
      </c>
      <c r="N53" s="42">
        <f t="shared" si="2"/>
        <v>6</v>
      </c>
      <c r="O53" s="43">
        <v>2</v>
      </c>
      <c r="P53" s="43">
        <v>2</v>
      </c>
      <c r="Q53" s="43">
        <v>2</v>
      </c>
      <c r="R53" s="42">
        <f t="shared" si="3"/>
        <v>6</v>
      </c>
      <c r="S53" s="43">
        <v>2</v>
      </c>
      <c r="T53" s="43">
        <v>2</v>
      </c>
      <c r="U53" s="43">
        <v>2</v>
      </c>
      <c r="V53" s="42">
        <f t="shared" si="4"/>
        <v>6</v>
      </c>
      <c r="W53" s="43">
        <v>2</v>
      </c>
      <c r="X53" s="43">
        <v>2</v>
      </c>
      <c r="Y53" s="43">
        <v>2</v>
      </c>
      <c r="Z53" s="42">
        <f t="shared" si="5"/>
        <v>6</v>
      </c>
      <c r="AA53" s="43">
        <v>2</v>
      </c>
      <c r="AB53" s="43">
        <v>6</v>
      </c>
      <c r="AC53" s="43">
        <v>2</v>
      </c>
      <c r="AD53" s="42">
        <f t="shared" si="6"/>
        <v>10</v>
      </c>
      <c r="AE53" s="43">
        <v>2</v>
      </c>
      <c r="AF53" s="43">
        <v>6</v>
      </c>
      <c r="AG53" s="43">
        <v>2</v>
      </c>
      <c r="AH53" s="42">
        <f t="shared" si="7"/>
        <v>10</v>
      </c>
      <c r="AI53" s="43">
        <v>2</v>
      </c>
      <c r="AJ53" s="43">
        <v>6</v>
      </c>
      <c r="AK53" s="43">
        <v>2</v>
      </c>
      <c r="AL53" s="42">
        <f t="shared" si="8"/>
        <v>10</v>
      </c>
      <c r="AM53" s="43">
        <v>2</v>
      </c>
      <c r="AN53" s="43">
        <v>4</v>
      </c>
      <c r="AO53" s="43">
        <v>2</v>
      </c>
      <c r="AP53" s="42">
        <f t="shared" si="9"/>
        <v>8</v>
      </c>
      <c r="AQ53" s="43">
        <v>2</v>
      </c>
      <c r="AR53" s="43">
        <v>6</v>
      </c>
      <c r="AS53" s="43">
        <v>2</v>
      </c>
      <c r="AT53" s="42">
        <f t="shared" si="10"/>
        <v>10</v>
      </c>
      <c r="AU53" s="43">
        <v>2</v>
      </c>
      <c r="AV53" s="43">
        <v>6</v>
      </c>
      <c r="AW53" s="43">
        <v>2</v>
      </c>
      <c r="AX53" s="42">
        <f t="shared" si="11"/>
        <v>10</v>
      </c>
      <c r="AY53" s="43">
        <v>2</v>
      </c>
      <c r="AZ53" s="43">
        <v>6</v>
      </c>
      <c r="BA53" s="43">
        <v>2</v>
      </c>
      <c r="BB53" s="42">
        <f t="shared" si="12"/>
        <v>10</v>
      </c>
      <c r="BC53" s="43">
        <v>2</v>
      </c>
      <c r="BD53" s="43">
        <v>4</v>
      </c>
      <c r="BE53" s="43">
        <v>2</v>
      </c>
      <c r="BF53" s="42">
        <f t="shared" si="13"/>
        <v>8</v>
      </c>
      <c r="BG53" s="43">
        <v>2</v>
      </c>
      <c r="BH53" s="43">
        <v>6</v>
      </c>
      <c r="BI53" s="43">
        <v>2</v>
      </c>
      <c r="BJ53" s="42">
        <f t="shared" si="14"/>
        <v>10</v>
      </c>
      <c r="BK53" s="42">
        <f t="shared" si="15"/>
        <v>123</v>
      </c>
      <c r="BL53" s="44"/>
      <c r="BM53" s="77"/>
      <c r="BN53" s="79">
        <f t="shared" si="16"/>
        <v>41</v>
      </c>
      <c r="BO53" s="135">
        <v>41</v>
      </c>
    </row>
    <row r="54" spans="1:67" ht="21" customHeight="1" thickBot="1">
      <c r="A54" s="129" t="s">
        <v>61</v>
      </c>
      <c r="B54" s="123" t="s">
        <v>217</v>
      </c>
      <c r="C54" s="42">
        <v>2</v>
      </c>
      <c r="D54" s="42">
        <v>3</v>
      </c>
      <c r="E54" s="42">
        <v>2</v>
      </c>
      <c r="F54" s="42">
        <f t="shared" si="0"/>
        <v>7</v>
      </c>
      <c r="G54" s="43">
        <v>2</v>
      </c>
      <c r="H54" s="43">
        <v>2</v>
      </c>
      <c r="I54" s="43">
        <v>2</v>
      </c>
      <c r="J54" s="42">
        <f t="shared" si="1"/>
        <v>6</v>
      </c>
      <c r="K54" s="43">
        <v>2</v>
      </c>
      <c r="L54" s="43">
        <v>2</v>
      </c>
      <c r="M54" s="43">
        <v>2</v>
      </c>
      <c r="N54" s="42">
        <f t="shared" si="2"/>
        <v>6</v>
      </c>
      <c r="O54" s="43">
        <v>2</v>
      </c>
      <c r="P54" s="43">
        <v>4</v>
      </c>
      <c r="Q54" s="43">
        <v>2</v>
      </c>
      <c r="R54" s="42">
        <f t="shared" si="3"/>
        <v>8</v>
      </c>
      <c r="S54" s="43">
        <v>2</v>
      </c>
      <c r="T54" s="43">
        <v>6</v>
      </c>
      <c r="U54" s="43">
        <v>2</v>
      </c>
      <c r="V54" s="42">
        <f t="shared" si="4"/>
        <v>10</v>
      </c>
      <c r="W54" s="43">
        <v>2</v>
      </c>
      <c r="X54" s="43">
        <v>4</v>
      </c>
      <c r="Y54" s="43">
        <v>2</v>
      </c>
      <c r="Z54" s="42">
        <f t="shared" si="5"/>
        <v>8</v>
      </c>
      <c r="AA54" s="43">
        <v>2</v>
      </c>
      <c r="AB54" s="43">
        <v>5</v>
      </c>
      <c r="AC54" s="43">
        <v>2</v>
      </c>
      <c r="AD54" s="42">
        <f t="shared" si="6"/>
        <v>9</v>
      </c>
      <c r="AE54" s="43">
        <v>1</v>
      </c>
      <c r="AF54" s="43">
        <v>3</v>
      </c>
      <c r="AG54" s="43">
        <v>2</v>
      </c>
      <c r="AH54" s="42">
        <f t="shared" si="7"/>
        <v>6</v>
      </c>
      <c r="AI54" s="43">
        <v>2</v>
      </c>
      <c r="AJ54" s="43">
        <v>4</v>
      </c>
      <c r="AK54" s="43">
        <v>2</v>
      </c>
      <c r="AL54" s="42">
        <f t="shared" si="8"/>
        <v>8</v>
      </c>
      <c r="AM54" s="43">
        <v>1</v>
      </c>
      <c r="AN54" s="43">
        <v>4</v>
      </c>
      <c r="AO54" s="43">
        <v>1</v>
      </c>
      <c r="AP54" s="42">
        <f t="shared" si="9"/>
        <v>6</v>
      </c>
      <c r="AQ54" s="43">
        <v>2</v>
      </c>
      <c r="AR54" s="43">
        <v>4</v>
      </c>
      <c r="AS54" s="43">
        <v>2</v>
      </c>
      <c r="AT54" s="42">
        <f t="shared" si="10"/>
        <v>8</v>
      </c>
      <c r="AU54" s="43">
        <v>2</v>
      </c>
      <c r="AV54" s="43">
        <v>4</v>
      </c>
      <c r="AW54" s="43">
        <v>2</v>
      </c>
      <c r="AX54" s="42">
        <f t="shared" si="11"/>
        <v>8</v>
      </c>
      <c r="AY54" s="43">
        <v>2</v>
      </c>
      <c r="AZ54" s="43">
        <v>4</v>
      </c>
      <c r="BA54" s="43">
        <v>2</v>
      </c>
      <c r="BB54" s="42">
        <f t="shared" si="12"/>
        <v>8</v>
      </c>
      <c r="BC54" s="43">
        <v>1</v>
      </c>
      <c r="BD54" s="43">
        <v>3</v>
      </c>
      <c r="BE54" s="43">
        <v>1</v>
      </c>
      <c r="BF54" s="42">
        <f t="shared" si="13"/>
        <v>5</v>
      </c>
      <c r="BG54" s="43">
        <v>1</v>
      </c>
      <c r="BH54" s="43">
        <v>3</v>
      </c>
      <c r="BI54" s="43">
        <v>2</v>
      </c>
      <c r="BJ54" s="42">
        <f t="shared" si="14"/>
        <v>6</v>
      </c>
      <c r="BK54" s="42">
        <f t="shared" si="15"/>
        <v>109</v>
      </c>
      <c r="BL54" s="44"/>
      <c r="BM54" s="77"/>
      <c r="BN54" s="79">
        <f t="shared" si="16"/>
        <v>36.333333333333336</v>
      </c>
      <c r="BO54" s="135">
        <v>36</v>
      </c>
    </row>
    <row r="55" spans="1:67" ht="21" customHeight="1" thickBot="1">
      <c r="A55" s="129" t="s">
        <v>62</v>
      </c>
      <c r="B55" s="123" t="s">
        <v>218</v>
      </c>
      <c r="C55" s="42">
        <v>2</v>
      </c>
      <c r="D55" s="42">
        <v>3</v>
      </c>
      <c r="E55" s="42">
        <v>2</v>
      </c>
      <c r="F55" s="42">
        <f t="shared" si="0"/>
        <v>7</v>
      </c>
      <c r="G55" s="43">
        <v>2</v>
      </c>
      <c r="H55" s="43">
        <v>2</v>
      </c>
      <c r="I55" s="43">
        <v>2</v>
      </c>
      <c r="J55" s="42">
        <f t="shared" si="1"/>
        <v>6</v>
      </c>
      <c r="K55" s="43">
        <v>2</v>
      </c>
      <c r="L55" s="43">
        <v>2</v>
      </c>
      <c r="M55" s="43">
        <v>2</v>
      </c>
      <c r="N55" s="42">
        <f t="shared" si="2"/>
        <v>6</v>
      </c>
      <c r="O55" s="43">
        <v>2</v>
      </c>
      <c r="P55" s="43">
        <v>2</v>
      </c>
      <c r="Q55" s="43">
        <v>2</v>
      </c>
      <c r="R55" s="42">
        <f t="shared" si="3"/>
        <v>6</v>
      </c>
      <c r="S55" s="43">
        <v>2</v>
      </c>
      <c r="T55" s="43">
        <v>2</v>
      </c>
      <c r="U55" s="43">
        <v>2</v>
      </c>
      <c r="V55" s="42">
        <f t="shared" si="4"/>
        <v>6</v>
      </c>
      <c r="W55" s="43">
        <v>2</v>
      </c>
      <c r="X55" s="43">
        <v>2</v>
      </c>
      <c r="Y55" s="43">
        <v>2</v>
      </c>
      <c r="Z55" s="42">
        <f t="shared" si="5"/>
        <v>6</v>
      </c>
      <c r="AA55" s="43">
        <v>2</v>
      </c>
      <c r="AB55" s="43">
        <v>4</v>
      </c>
      <c r="AC55" s="43">
        <v>2</v>
      </c>
      <c r="AD55" s="42">
        <f t="shared" si="6"/>
        <v>8</v>
      </c>
      <c r="AE55" s="43">
        <v>2</v>
      </c>
      <c r="AF55" s="43">
        <v>6</v>
      </c>
      <c r="AG55" s="43">
        <v>2</v>
      </c>
      <c r="AH55" s="42">
        <f t="shared" si="7"/>
        <v>10</v>
      </c>
      <c r="AI55" s="43">
        <v>2</v>
      </c>
      <c r="AJ55" s="43">
        <v>6</v>
      </c>
      <c r="AK55" s="43">
        <v>2</v>
      </c>
      <c r="AL55" s="42">
        <f t="shared" si="8"/>
        <v>10</v>
      </c>
      <c r="AM55" s="43">
        <v>1</v>
      </c>
      <c r="AN55" s="43">
        <v>4</v>
      </c>
      <c r="AO55" s="43">
        <v>2</v>
      </c>
      <c r="AP55" s="42">
        <f t="shared" si="9"/>
        <v>7</v>
      </c>
      <c r="AQ55" s="43">
        <v>2</v>
      </c>
      <c r="AR55" s="43">
        <v>4</v>
      </c>
      <c r="AS55" s="43">
        <v>2</v>
      </c>
      <c r="AT55" s="42">
        <f t="shared" si="10"/>
        <v>8</v>
      </c>
      <c r="AU55" s="43">
        <v>2</v>
      </c>
      <c r="AV55" s="43">
        <v>4</v>
      </c>
      <c r="AW55" s="43">
        <v>2</v>
      </c>
      <c r="AX55" s="42">
        <f t="shared" si="11"/>
        <v>8</v>
      </c>
      <c r="AY55" s="43">
        <v>2</v>
      </c>
      <c r="AZ55" s="43">
        <v>4</v>
      </c>
      <c r="BA55" s="43">
        <v>2</v>
      </c>
      <c r="BB55" s="42">
        <f t="shared" si="12"/>
        <v>8</v>
      </c>
      <c r="BC55" s="43">
        <v>2</v>
      </c>
      <c r="BD55" s="43">
        <v>3</v>
      </c>
      <c r="BE55" s="43">
        <v>2</v>
      </c>
      <c r="BF55" s="42">
        <f t="shared" si="13"/>
        <v>7</v>
      </c>
      <c r="BG55" s="43">
        <v>1</v>
      </c>
      <c r="BH55" s="43">
        <v>4</v>
      </c>
      <c r="BI55" s="43">
        <v>1</v>
      </c>
      <c r="BJ55" s="42">
        <f t="shared" si="14"/>
        <v>6</v>
      </c>
      <c r="BK55" s="42">
        <f t="shared" si="15"/>
        <v>109</v>
      </c>
      <c r="BL55" s="44"/>
      <c r="BM55" s="77"/>
      <c r="BN55" s="79">
        <f t="shared" si="16"/>
        <v>36.333333333333336</v>
      </c>
      <c r="BO55" s="135">
        <v>36</v>
      </c>
    </row>
    <row r="56" spans="1:67" ht="21" customHeight="1" thickBot="1">
      <c r="A56" s="129" t="s">
        <v>63</v>
      </c>
      <c r="B56" s="123" t="s">
        <v>219</v>
      </c>
      <c r="C56" s="42">
        <v>2</v>
      </c>
      <c r="D56" s="42">
        <v>3</v>
      </c>
      <c r="E56" s="42">
        <v>2</v>
      </c>
      <c r="F56" s="42">
        <f t="shared" si="0"/>
        <v>7</v>
      </c>
      <c r="G56" s="43">
        <v>2</v>
      </c>
      <c r="H56" s="43">
        <v>4</v>
      </c>
      <c r="I56" s="43">
        <v>2</v>
      </c>
      <c r="J56" s="42">
        <f t="shared" si="1"/>
        <v>8</v>
      </c>
      <c r="K56" s="43">
        <v>2</v>
      </c>
      <c r="L56" s="43">
        <v>2</v>
      </c>
      <c r="M56" s="43">
        <v>2</v>
      </c>
      <c r="N56" s="42">
        <f t="shared" si="2"/>
        <v>6</v>
      </c>
      <c r="O56" s="43">
        <v>2</v>
      </c>
      <c r="P56" s="43">
        <v>4</v>
      </c>
      <c r="Q56" s="43">
        <v>2</v>
      </c>
      <c r="R56" s="42">
        <f t="shared" si="3"/>
        <v>8</v>
      </c>
      <c r="S56" s="43">
        <v>2</v>
      </c>
      <c r="T56" s="43">
        <v>2</v>
      </c>
      <c r="U56" s="43">
        <v>2</v>
      </c>
      <c r="V56" s="42">
        <f t="shared" si="4"/>
        <v>6</v>
      </c>
      <c r="W56" s="43">
        <v>2</v>
      </c>
      <c r="X56" s="43">
        <v>2</v>
      </c>
      <c r="Y56" s="43">
        <v>2</v>
      </c>
      <c r="Z56" s="42">
        <f t="shared" si="5"/>
        <v>6</v>
      </c>
      <c r="AA56" s="43">
        <v>1</v>
      </c>
      <c r="AB56" s="43">
        <v>4</v>
      </c>
      <c r="AC56" s="43">
        <v>1</v>
      </c>
      <c r="AD56" s="42">
        <f t="shared" si="6"/>
        <v>6</v>
      </c>
      <c r="AE56" s="43">
        <v>1</v>
      </c>
      <c r="AF56" s="43">
        <v>6</v>
      </c>
      <c r="AG56" s="43">
        <v>1</v>
      </c>
      <c r="AH56" s="42">
        <f t="shared" si="7"/>
        <v>8</v>
      </c>
      <c r="AI56" s="43">
        <v>2</v>
      </c>
      <c r="AJ56" s="43">
        <v>6</v>
      </c>
      <c r="AK56" s="43">
        <v>2</v>
      </c>
      <c r="AL56" s="42">
        <f t="shared" si="8"/>
        <v>10</v>
      </c>
      <c r="AM56" s="43">
        <v>2</v>
      </c>
      <c r="AN56" s="43">
        <v>6</v>
      </c>
      <c r="AO56" s="43">
        <v>2</v>
      </c>
      <c r="AP56" s="42">
        <f t="shared" si="9"/>
        <v>10</v>
      </c>
      <c r="AQ56" s="43">
        <v>2</v>
      </c>
      <c r="AR56" s="43">
        <v>4</v>
      </c>
      <c r="AS56" s="43">
        <v>1</v>
      </c>
      <c r="AT56" s="42">
        <f t="shared" si="10"/>
        <v>7</v>
      </c>
      <c r="AU56" s="43">
        <v>1</v>
      </c>
      <c r="AV56" s="43">
        <v>6</v>
      </c>
      <c r="AW56" s="43">
        <v>2</v>
      </c>
      <c r="AX56" s="42">
        <f t="shared" si="11"/>
        <v>9</v>
      </c>
      <c r="AY56" s="43">
        <v>1</v>
      </c>
      <c r="AZ56" s="43">
        <v>6</v>
      </c>
      <c r="BA56" s="43">
        <v>2</v>
      </c>
      <c r="BB56" s="42">
        <f t="shared" si="12"/>
        <v>9</v>
      </c>
      <c r="BC56" s="43">
        <v>2</v>
      </c>
      <c r="BD56" s="43">
        <v>6</v>
      </c>
      <c r="BE56" s="43">
        <v>2</v>
      </c>
      <c r="BF56" s="42">
        <f t="shared" si="13"/>
        <v>10</v>
      </c>
      <c r="BG56" s="43">
        <v>1</v>
      </c>
      <c r="BH56" s="43">
        <v>6</v>
      </c>
      <c r="BI56" s="43">
        <v>1</v>
      </c>
      <c r="BJ56" s="42">
        <f t="shared" si="14"/>
        <v>8</v>
      </c>
      <c r="BK56" s="42">
        <f t="shared" si="15"/>
        <v>118</v>
      </c>
      <c r="BL56" s="44"/>
      <c r="BM56" s="77"/>
      <c r="BN56" s="79">
        <f t="shared" si="16"/>
        <v>39.333333333333329</v>
      </c>
      <c r="BO56" s="135">
        <v>39</v>
      </c>
    </row>
    <row r="57" spans="1:67" ht="21" customHeight="1" thickBot="1">
      <c r="A57" s="129" t="s">
        <v>64</v>
      </c>
      <c r="B57" s="123" t="s">
        <v>220</v>
      </c>
      <c r="C57" s="42">
        <v>2</v>
      </c>
      <c r="D57" s="42">
        <v>5</v>
      </c>
      <c r="E57" s="42">
        <v>2</v>
      </c>
      <c r="F57" s="42">
        <f t="shared" si="0"/>
        <v>9</v>
      </c>
      <c r="G57" s="43">
        <v>2</v>
      </c>
      <c r="H57" s="43">
        <v>2</v>
      </c>
      <c r="I57" s="43">
        <v>2</v>
      </c>
      <c r="J57" s="42">
        <f t="shared" si="1"/>
        <v>6</v>
      </c>
      <c r="K57" s="43">
        <v>2</v>
      </c>
      <c r="L57" s="43">
        <v>2</v>
      </c>
      <c r="M57" s="43">
        <v>2</v>
      </c>
      <c r="N57" s="42">
        <f t="shared" si="2"/>
        <v>6</v>
      </c>
      <c r="O57" s="43">
        <v>2</v>
      </c>
      <c r="P57" s="43">
        <v>4</v>
      </c>
      <c r="Q57" s="43">
        <v>2</v>
      </c>
      <c r="R57" s="42">
        <f t="shared" si="3"/>
        <v>8</v>
      </c>
      <c r="S57" s="43">
        <v>2</v>
      </c>
      <c r="T57" s="43">
        <v>4</v>
      </c>
      <c r="U57" s="43">
        <v>2</v>
      </c>
      <c r="V57" s="42">
        <f t="shared" si="4"/>
        <v>8</v>
      </c>
      <c r="W57" s="43">
        <v>2</v>
      </c>
      <c r="X57" s="43">
        <v>4</v>
      </c>
      <c r="Y57" s="43">
        <v>2</v>
      </c>
      <c r="Z57" s="42">
        <f t="shared" si="5"/>
        <v>8</v>
      </c>
      <c r="AA57" s="43">
        <v>2</v>
      </c>
      <c r="AB57" s="43">
        <v>5</v>
      </c>
      <c r="AC57" s="43">
        <v>2</v>
      </c>
      <c r="AD57" s="42">
        <f t="shared" si="6"/>
        <v>9</v>
      </c>
      <c r="AE57" s="43">
        <v>2</v>
      </c>
      <c r="AF57" s="43">
        <v>6</v>
      </c>
      <c r="AG57" s="43">
        <v>2</v>
      </c>
      <c r="AH57" s="42">
        <f t="shared" si="7"/>
        <v>10</v>
      </c>
      <c r="AI57" s="43">
        <v>2</v>
      </c>
      <c r="AJ57" s="43">
        <v>6</v>
      </c>
      <c r="AK57" s="43">
        <v>2</v>
      </c>
      <c r="AL57" s="42">
        <f t="shared" si="8"/>
        <v>10</v>
      </c>
      <c r="AM57" s="43">
        <v>1</v>
      </c>
      <c r="AN57" s="43">
        <v>4</v>
      </c>
      <c r="AO57" s="43">
        <v>2</v>
      </c>
      <c r="AP57" s="42">
        <f t="shared" si="9"/>
        <v>7</v>
      </c>
      <c r="AQ57" s="43">
        <v>1</v>
      </c>
      <c r="AR57" s="43">
        <v>4</v>
      </c>
      <c r="AS57" s="43">
        <v>2</v>
      </c>
      <c r="AT57" s="42">
        <f t="shared" si="10"/>
        <v>7</v>
      </c>
      <c r="AU57" s="43">
        <v>1</v>
      </c>
      <c r="AV57" s="43">
        <v>4</v>
      </c>
      <c r="AW57" s="43">
        <v>2</v>
      </c>
      <c r="AX57" s="42">
        <f t="shared" si="11"/>
        <v>7</v>
      </c>
      <c r="AY57" s="43">
        <v>2</v>
      </c>
      <c r="AZ57" s="43">
        <v>6</v>
      </c>
      <c r="BA57" s="43">
        <v>2</v>
      </c>
      <c r="BB57" s="42">
        <f t="shared" si="12"/>
        <v>10</v>
      </c>
      <c r="BC57" s="43">
        <v>1</v>
      </c>
      <c r="BD57" s="43">
        <v>5</v>
      </c>
      <c r="BE57" s="43">
        <v>2</v>
      </c>
      <c r="BF57" s="42">
        <f t="shared" si="13"/>
        <v>8</v>
      </c>
      <c r="BG57" s="43">
        <v>2</v>
      </c>
      <c r="BH57" s="43">
        <v>5</v>
      </c>
      <c r="BI57" s="43">
        <v>2</v>
      </c>
      <c r="BJ57" s="42">
        <f t="shared" si="14"/>
        <v>9</v>
      </c>
      <c r="BK57" s="42">
        <f t="shared" si="15"/>
        <v>122</v>
      </c>
      <c r="BL57" s="44"/>
      <c r="BM57" s="77"/>
      <c r="BN57" s="79">
        <f t="shared" si="16"/>
        <v>40.666666666666664</v>
      </c>
      <c r="BO57" s="135">
        <v>41</v>
      </c>
    </row>
    <row r="58" spans="1:67" ht="21" customHeight="1" thickBot="1">
      <c r="A58" s="129" t="s">
        <v>65</v>
      </c>
      <c r="B58" s="123" t="s">
        <v>221</v>
      </c>
      <c r="C58" s="42">
        <v>2</v>
      </c>
      <c r="D58" s="42">
        <v>5</v>
      </c>
      <c r="E58" s="42">
        <v>2</v>
      </c>
      <c r="F58" s="42">
        <f t="shared" ref="F58:F64" si="80">C58+D58+E58</f>
        <v>9</v>
      </c>
      <c r="G58" s="43">
        <v>2</v>
      </c>
      <c r="H58" s="43">
        <v>2</v>
      </c>
      <c r="I58" s="43">
        <v>2</v>
      </c>
      <c r="J58" s="42">
        <f t="shared" ref="J58:J64" si="81">G58+H58+I58</f>
        <v>6</v>
      </c>
      <c r="K58" s="43">
        <v>2</v>
      </c>
      <c r="L58" s="43">
        <v>2</v>
      </c>
      <c r="M58" s="43">
        <v>2</v>
      </c>
      <c r="N58" s="42">
        <f t="shared" ref="N58:N64" si="82">K58+L58+M58</f>
        <v>6</v>
      </c>
      <c r="O58" s="43">
        <v>2</v>
      </c>
      <c r="P58" s="43">
        <v>4</v>
      </c>
      <c r="Q58" s="43">
        <v>2</v>
      </c>
      <c r="R58" s="42">
        <f t="shared" ref="R58:R64" si="83">O58+P58+Q58</f>
        <v>8</v>
      </c>
      <c r="S58" s="43">
        <v>2</v>
      </c>
      <c r="T58" s="43">
        <v>4</v>
      </c>
      <c r="U58" s="43">
        <v>2</v>
      </c>
      <c r="V58" s="42">
        <f t="shared" ref="V58:V64" si="84">S58+T58+U58</f>
        <v>8</v>
      </c>
      <c r="W58" s="43">
        <v>2</v>
      </c>
      <c r="X58" s="43">
        <v>4</v>
      </c>
      <c r="Y58" s="43">
        <v>2</v>
      </c>
      <c r="Z58" s="42">
        <f t="shared" ref="Z58:Z64" si="85">W58+X58+Y58</f>
        <v>8</v>
      </c>
      <c r="AA58" s="43">
        <v>2</v>
      </c>
      <c r="AB58" s="43">
        <v>5</v>
      </c>
      <c r="AC58" s="43">
        <v>2</v>
      </c>
      <c r="AD58" s="42">
        <f t="shared" ref="AD58:AD64" si="86">AA58+AB58+AC58</f>
        <v>9</v>
      </c>
      <c r="AE58" s="43">
        <v>2</v>
      </c>
      <c r="AF58" s="43">
        <v>6</v>
      </c>
      <c r="AG58" s="43">
        <v>2</v>
      </c>
      <c r="AH58" s="42">
        <f t="shared" ref="AH58:AH64" si="87">AE58+AF58+AG58</f>
        <v>10</v>
      </c>
      <c r="AI58" s="43">
        <v>2</v>
      </c>
      <c r="AJ58" s="43">
        <v>6</v>
      </c>
      <c r="AK58" s="43">
        <v>2</v>
      </c>
      <c r="AL58" s="42">
        <f t="shared" ref="AL58:AL64" si="88">AI58+AJ58+AK58</f>
        <v>10</v>
      </c>
      <c r="AM58" s="43">
        <v>1</v>
      </c>
      <c r="AN58" s="43">
        <v>4</v>
      </c>
      <c r="AO58" s="43">
        <v>2</v>
      </c>
      <c r="AP58" s="42">
        <f t="shared" ref="AP58:AP64" si="89">AM58+AN58+AO58</f>
        <v>7</v>
      </c>
      <c r="AQ58" s="43">
        <v>1</v>
      </c>
      <c r="AR58" s="43">
        <v>4</v>
      </c>
      <c r="AS58" s="43">
        <v>2</v>
      </c>
      <c r="AT58" s="42">
        <f t="shared" ref="AT58:AT64" si="90">AQ58+AR58+AS58</f>
        <v>7</v>
      </c>
      <c r="AU58" s="43">
        <v>1</v>
      </c>
      <c r="AV58" s="43">
        <v>4</v>
      </c>
      <c r="AW58" s="43">
        <v>2</v>
      </c>
      <c r="AX58" s="42">
        <f t="shared" ref="AX58:AX64" si="91">AU58+AV58+AW58</f>
        <v>7</v>
      </c>
      <c r="AY58" s="43">
        <v>2</v>
      </c>
      <c r="AZ58" s="43">
        <v>6</v>
      </c>
      <c r="BA58" s="43">
        <v>2</v>
      </c>
      <c r="BB58" s="42">
        <f t="shared" ref="BB58:BB64" si="92">AY58+AZ58+BA58</f>
        <v>10</v>
      </c>
      <c r="BC58" s="43">
        <v>2</v>
      </c>
      <c r="BD58" s="43">
        <v>6</v>
      </c>
      <c r="BE58" s="43">
        <v>2</v>
      </c>
      <c r="BF58" s="42">
        <f t="shared" ref="BF58:BF64" si="93">BC58+BD58+BE58</f>
        <v>10</v>
      </c>
      <c r="BG58" s="43">
        <v>2</v>
      </c>
      <c r="BH58" s="43">
        <v>6</v>
      </c>
      <c r="BI58" s="43">
        <v>2</v>
      </c>
      <c r="BJ58" s="42">
        <f t="shared" ref="BJ58:BJ64" si="94">BG58+BH58+BI58</f>
        <v>10</v>
      </c>
      <c r="BK58" s="42">
        <f t="shared" ref="BK58:BK64" si="95">SUM(F58,J58,N58,R58,V58,Z58,AD58,AH58,AL58,AP58,AT58,AX58,BB58,BF58,BJ58)</f>
        <v>125</v>
      </c>
      <c r="BL58" s="44"/>
      <c r="BM58" s="77"/>
      <c r="BN58" s="79">
        <f t="shared" si="16"/>
        <v>41.666666666666671</v>
      </c>
      <c r="BO58" s="135">
        <v>42</v>
      </c>
    </row>
    <row r="59" spans="1:67" ht="21" customHeight="1" thickBot="1">
      <c r="A59" s="129" t="s">
        <v>66</v>
      </c>
      <c r="B59" s="123" t="s">
        <v>222</v>
      </c>
      <c r="C59" s="42">
        <v>2</v>
      </c>
      <c r="D59" s="42">
        <v>5</v>
      </c>
      <c r="E59" s="42">
        <v>2</v>
      </c>
      <c r="F59" s="42">
        <f t="shared" si="80"/>
        <v>9</v>
      </c>
      <c r="G59" s="43">
        <v>2</v>
      </c>
      <c r="H59" s="43">
        <v>2</v>
      </c>
      <c r="I59" s="43">
        <v>2</v>
      </c>
      <c r="J59" s="42">
        <f t="shared" si="81"/>
        <v>6</v>
      </c>
      <c r="K59" s="43">
        <v>2</v>
      </c>
      <c r="L59" s="43">
        <v>2</v>
      </c>
      <c r="M59" s="43">
        <v>2</v>
      </c>
      <c r="N59" s="42">
        <f t="shared" si="82"/>
        <v>6</v>
      </c>
      <c r="O59" s="43">
        <v>2</v>
      </c>
      <c r="P59" s="43">
        <v>4</v>
      </c>
      <c r="Q59" s="43">
        <v>2</v>
      </c>
      <c r="R59" s="42">
        <f t="shared" si="83"/>
        <v>8</v>
      </c>
      <c r="S59" s="43">
        <v>2</v>
      </c>
      <c r="T59" s="43">
        <v>4</v>
      </c>
      <c r="U59" s="43">
        <v>2</v>
      </c>
      <c r="V59" s="42">
        <f t="shared" si="84"/>
        <v>8</v>
      </c>
      <c r="W59" s="43">
        <v>2</v>
      </c>
      <c r="X59" s="43">
        <v>4</v>
      </c>
      <c r="Y59" s="43">
        <v>2</v>
      </c>
      <c r="Z59" s="42">
        <f t="shared" si="85"/>
        <v>8</v>
      </c>
      <c r="AA59" s="43">
        <v>2</v>
      </c>
      <c r="AB59" s="43">
        <v>5</v>
      </c>
      <c r="AC59" s="43">
        <v>2</v>
      </c>
      <c r="AD59" s="42">
        <f t="shared" si="86"/>
        <v>9</v>
      </c>
      <c r="AE59" s="43">
        <v>2</v>
      </c>
      <c r="AF59" s="43">
        <v>6</v>
      </c>
      <c r="AG59" s="43">
        <v>2</v>
      </c>
      <c r="AH59" s="42">
        <f t="shared" si="87"/>
        <v>10</v>
      </c>
      <c r="AI59" s="43">
        <v>2</v>
      </c>
      <c r="AJ59" s="43">
        <v>6</v>
      </c>
      <c r="AK59" s="43">
        <v>2</v>
      </c>
      <c r="AL59" s="42">
        <f t="shared" si="88"/>
        <v>10</v>
      </c>
      <c r="AM59" s="43">
        <v>1</v>
      </c>
      <c r="AN59" s="43">
        <v>3</v>
      </c>
      <c r="AO59" s="43">
        <v>2</v>
      </c>
      <c r="AP59" s="42">
        <f t="shared" si="89"/>
        <v>6</v>
      </c>
      <c r="AQ59" s="43">
        <v>1</v>
      </c>
      <c r="AR59" s="43">
        <v>4</v>
      </c>
      <c r="AS59" s="43">
        <v>2</v>
      </c>
      <c r="AT59" s="42">
        <f t="shared" si="90"/>
        <v>7</v>
      </c>
      <c r="AU59" s="43">
        <v>1</v>
      </c>
      <c r="AV59" s="43">
        <v>4</v>
      </c>
      <c r="AW59" s="43">
        <v>2</v>
      </c>
      <c r="AX59" s="42">
        <f t="shared" si="91"/>
        <v>7</v>
      </c>
      <c r="AY59" s="43">
        <v>2</v>
      </c>
      <c r="AZ59" s="43">
        <v>6</v>
      </c>
      <c r="BA59" s="43">
        <v>2</v>
      </c>
      <c r="BB59" s="42">
        <f t="shared" si="92"/>
        <v>10</v>
      </c>
      <c r="BC59" s="43">
        <v>1</v>
      </c>
      <c r="BD59" s="43">
        <v>4</v>
      </c>
      <c r="BE59" s="43">
        <v>2</v>
      </c>
      <c r="BF59" s="42">
        <f t="shared" si="93"/>
        <v>7</v>
      </c>
      <c r="BG59" s="43">
        <v>1</v>
      </c>
      <c r="BH59" s="43">
        <v>4</v>
      </c>
      <c r="BI59" s="43">
        <v>1</v>
      </c>
      <c r="BJ59" s="42">
        <f t="shared" si="94"/>
        <v>6</v>
      </c>
      <c r="BK59" s="42">
        <f t="shared" si="95"/>
        <v>117</v>
      </c>
      <c r="BL59" s="44"/>
      <c r="BM59" s="77"/>
      <c r="BN59" s="79">
        <f t="shared" si="16"/>
        <v>39</v>
      </c>
      <c r="BO59" s="135">
        <v>39</v>
      </c>
    </row>
    <row r="60" spans="1:67" ht="21" customHeight="1" thickBot="1">
      <c r="A60" s="129" t="s">
        <v>67</v>
      </c>
      <c r="B60" s="124" t="s">
        <v>223</v>
      </c>
      <c r="C60" s="42">
        <v>2</v>
      </c>
      <c r="D60" s="42">
        <v>5</v>
      </c>
      <c r="E60" s="42">
        <v>2</v>
      </c>
      <c r="F60" s="42">
        <f t="shared" si="80"/>
        <v>9</v>
      </c>
      <c r="G60" s="43">
        <v>2</v>
      </c>
      <c r="H60" s="43">
        <v>2</v>
      </c>
      <c r="I60" s="43">
        <v>2</v>
      </c>
      <c r="J60" s="42">
        <f t="shared" si="81"/>
        <v>6</v>
      </c>
      <c r="K60" s="43">
        <v>2</v>
      </c>
      <c r="L60" s="43">
        <v>2</v>
      </c>
      <c r="M60" s="43">
        <v>2</v>
      </c>
      <c r="N60" s="42">
        <f t="shared" si="82"/>
        <v>6</v>
      </c>
      <c r="O60" s="43">
        <v>2</v>
      </c>
      <c r="P60" s="43">
        <v>4</v>
      </c>
      <c r="Q60" s="43">
        <v>2</v>
      </c>
      <c r="R60" s="42">
        <f t="shared" si="83"/>
        <v>8</v>
      </c>
      <c r="S60" s="43">
        <v>2</v>
      </c>
      <c r="T60" s="43">
        <v>4</v>
      </c>
      <c r="U60" s="43">
        <v>2</v>
      </c>
      <c r="V60" s="42">
        <f t="shared" si="84"/>
        <v>8</v>
      </c>
      <c r="W60" s="43">
        <v>2</v>
      </c>
      <c r="X60" s="43">
        <v>4</v>
      </c>
      <c r="Y60" s="43">
        <v>2</v>
      </c>
      <c r="Z60" s="42">
        <f t="shared" si="85"/>
        <v>8</v>
      </c>
      <c r="AA60" s="43">
        <v>2</v>
      </c>
      <c r="AB60" s="43">
        <v>5</v>
      </c>
      <c r="AC60" s="43">
        <v>2</v>
      </c>
      <c r="AD60" s="42">
        <f t="shared" si="86"/>
        <v>9</v>
      </c>
      <c r="AE60" s="43">
        <v>2</v>
      </c>
      <c r="AF60" s="43">
        <v>6</v>
      </c>
      <c r="AG60" s="43">
        <v>2</v>
      </c>
      <c r="AH60" s="42">
        <f t="shared" si="87"/>
        <v>10</v>
      </c>
      <c r="AI60" s="43">
        <v>2</v>
      </c>
      <c r="AJ60" s="43">
        <v>6</v>
      </c>
      <c r="AK60" s="43">
        <v>2</v>
      </c>
      <c r="AL60" s="42">
        <f t="shared" si="88"/>
        <v>10</v>
      </c>
      <c r="AM60" s="43">
        <v>1</v>
      </c>
      <c r="AN60" s="43">
        <v>4</v>
      </c>
      <c r="AO60" s="43">
        <v>2</v>
      </c>
      <c r="AP60" s="42">
        <f t="shared" si="89"/>
        <v>7</v>
      </c>
      <c r="AQ60" s="43">
        <v>1</v>
      </c>
      <c r="AR60" s="43">
        <v>4</v>
      </c>
      <c r="AS60" s="43">
        <v>2</v>
      </c>
      <c r="AT60" s="42">
        <f t="shared" si="90"/>
        <v>7</v>
      </c>
      <c r="AU60" s="43">
        <v>1</v>
      </c>
      <c r="AV60" s="43">
        <v>4</v>
      </c>
      <c r="AW60" s="43">
        <v>2</v>
      </c>
      <c r="AX60" s="42">
        <f t="shared" si="91"/>
        <v>7</v>
      </c>
      <c r="AY60" s="43">
        <v>2</v>
      </c>
      <c r="AZ60" s="43">
        <v>4</v>
      </c>
      <c r="BA60" s="43">
        <v>2</v>
      </c>
      <c r="BB60" s="42">
        <f t="shared" si="92"/>
        <v>8</v>
      </c>
      <c r="BC60" s="43">
        <v>1</v>
      </c>
      <c r="BD60" s="43">
        <v>5</v>
      </c>
      <c r="BE60" s="43">
        <v>2</v>
      </c>
      <c r="BF60" s="42">
        <f t="shared" si="93"/>
        <v>8</v>
      </c>
      <c r="BG60" s="43">
        <v>1</v>
      </c>
      <c r="BH60" s="43">
        <v>4</v>
      </c>
      <c r="BI60" s="43">
        <v>1</v>
      </c>
      <c r="BJ60" s="42">
        <f t="shared" si="94"/>
        <v>6</v>
      </c>
      <c r="BK60" s="42">
        <f t="shared" si="95"/>
        <v>117</v>
      </c>
      <c r="BL60" s="44"/>
      <c r="BM60" s="77"/>
      <c r="BN60" s="79">
        <f t="shared" si="16"/>
        <v>39</v>
      </c>
      <c r="BO60" s="135">
        <v>39</v>
      </c>
    </row>
    <row r="61" spans="1:67" ht="21" customHeight="1" thickBot="1">
      <c r="A61" s="129" t="s">
        <v>68</v>
      </c>
      <c r="B61" s="123" t="s">
        <v>224</v>
      </c>
      <c r="C61" s="42">
        <v>2</v>
      </c>
      <c r="D61" s="42">
        <v>5</v>
      </c>
      <c r="E61" s="42">
        <v>2</v>
      </c>
      <c r="F61" s="42">
        <f t="shared" si="80"/>
        <v>9</v>
      </c>
      <c r="G61" s="43">
        <v>2</v>
      </c>
      <c r="H61" s="43">
        <v>2</v>
      </c>
      <c r="I61" s="43">
        <v>2</v>
      </c>
      <c r="J61" s="42">
        <f t="shared" si="81"/>
        <v>6</v>
      </c>
      <c r="K61" s="43">
        <v>2</v>
      </c>
      <c r="L61" s="43">
        <v>2</v>
      </c>
      <c r="M61" s="43">
        <v>2</v>
      </c>
      <c r="N61" s="42">
        <f t="shared" si="82"/>
        <v>6</v>
      </c>
      <c r="O61" s="43">
        <v>2</v>
      </c>
      <c r="P61" s="43">
        <v>4</v>
      </c>
      <c r="Q61" s="43">
        <v>2</v>
      </c>
      <c r="R61" s="42">
        <f t="shared" si="83"/>
        <v>8</v>
      </c>
      <c r="S61" s="43">
        <v>2</v>
      </c>
      <c r="T61" s="43">
        <v>4</v>
      </c>
      <c r="U61" s="43">
        <v>2</v>
      </c>
      <c r="V61" s="42">
        <f t="shared" si="84"/>
        <v>8</v>
      </c>
      <c r="W61" s="43">
        <v>2</v>
      </c>
      <c r="X61" s="43">
        <v>4</v>
      </c>
      <c r="Y61" s="43">
        <v>2</v>
      </c>
      <c r="Z61" s="42">
        <f t="shared" si="85"/>
        <v>8</v>
      </c>
      <c r="AA61" s="43">
        <v>2</v>
      </c>
      <c r="AB61" s="43">
        <v>5</v>
      </c>
      <c r="AC61" s="43">
        <v>2</v>
      </c>
      <c r="AD61" s="42">
        <f t="shared" si="86"/>
        <v>9</v>
      </c>
      <c r="AE61" s="43">
        <v>2</v>
      </c>
      <c r="AF61" s="43">
        <v>6</v>
      </c>
      <c r="AG61" s="43">
        <v>2</v>
      </c>
      <c r="AH61" s="42">
        <f t="shared" si="87"/>
        <v>10</v>
      </c>
      <c r="AI61" s="43">
        <v>2</v>
      </c>
      <c r="AJ61" s="43">
        <v>6</v>
      </c>
      <c r="AK61" s="43">
        <v>2</v>
      </c>
      <c r="AL61" s="42">
        <f t="shared" si="88"/>
        <v>10</v>
      </c>
      <c r="AM61" s="43">
        <v>1</v>
      </c>
      <c r="AN61" s="43">
        <v>4</v>
      </c>
      <c r="AO61" s="43">
        <v>2</v>
      </c>
      <c r="AP61" s="42">
        <f t="shared" si="89"/>
        <v>7</v>
      </c>
      <c r="AQ61" s="43">
        <v>1</v>
      </c>
      <c r="AR61" s="43">
        <v>4</v>
      </c>
      <c r="AS61" s="43">
        <v>2</v>
      </c>
      <c r="AT61" s="42">
        <f t="shared" si="90"/>
        <v>7</v>
      </c>
      <c r="AU61" s="43">
        <v>1</v>
      </c>
      <c r="AV61" s="43">
        <v>4</v>
      </c>
      <c r="AW61" s="43">
        <v>2</v>
      </c>
      <c r="AX61" s="42">
        <f t="shared" si="91"/>
        <v>7</v>
      </c>
      <c r="AY61" s="43">
        <v>2</v>
      </c>
      <c r="AZ61" s="43">
        <v>6</v>
      </c>
      <c r="BA61" s="43">
        <v>2</v>
      </c>
      <c r="BB61" s="42">
        <f t="shared" si="92"/>
        <v>10</v>
      </c>
      <c r="BC61" s="43">
        <v>1</v>
      </c>
      <c r="BD61" s="43">
        <v>4</v>
      </c>
      <c r="BE61" s="43">
        <v>2</v>
      </c>
      <c r="BF61" s="42">
        <f t="shared" si="93"/>
        <v>7</v>
      </c>
      <c r="BG61" s="43">
        <v>2</v>
      </c>
      <c r="BH61" s="43">
        <v>5</v>
      </c>
      <c r="BI61" s="43">
        <v>2</v>
      </c>
      <c r="BJ61" s="42">
        <f t="shared" si="94"/>
        <v>9</v>
      </c>
      <c r="BK61" s="42">
        <f t="shared" si="95"/>
        <v>121</v>
      </c>
      <c r="BL61" s="44"/>
      <c r="BM61" s="77"/>
      <c r="BN61" s="79">
        <f t="shared" si="16"/>
        <v>40.333333333333329</v>
      </c>
      <c r="BO61" s="135">
        <v>40</v>
      </c>
    </row>
    <row r="62" spans="1:67" ht="21" customHeight="1" thickBot="1">
      <c r="A62" s="129" t="s">
        <v>69</v>
      </c>
      <c r="B62" s="123" t="s">
        <v>225</v>
      </c>
      <c r="C62" s="42">
        <v>2</v>
      </c>
      <c r="D62" s="42">
        <v>5</v>
      </c>
      <c r="E62" s="42">
        <v>2</v>
      </c>
      <c r="F62" s="42">
        <f t="shared" si="80"/>
        <v>9</v>
      </c>
      <c r="G62" s="43">
        <v>2</v>
      </c>
      <c r="H62" s="43">
        <v>2</v>
      </c>
      <c r="I62" s="43">
        <v>2</v>
      </c>
      <c r="J62" s="42">
        <f t="shared" si="81"/>
        <v>6</v>
      </c>
      <c r="K62" s="43">
        <v>2</v>
      </c>
      <c r="L62" s="43">
        <v>2</v>
      </c>
      <c r="M62" s="43">
        <v>2</v>
      </c>
      <c r="N62" s="42">
        <f t="shared" si="82"/>
        <v>6</v>
      </c>
      <c r="O62" s="43">
        <v>2</v>
      </c>
      <c r="P62" s="43">
        <v>4</v>
      </c>
      <c r="Q62" s="43">
        <v>2</v>
      </c>
      <c r="R62" s="42">
        <f t="shared" si="83"/>
        <v>8</v>
      </c>
      <c r="S62" s="43">
        <v>2</v>
      </c>
      <c r="T62" s="43">
        <v>4</v>
      </c>
      <c r="U62" s="43">
        <v>2</v>
      </c>
      <c r="V62" s="42">
        <f t="shared" si="84"/>
        <v>8</v>
      </c>
      <c r="W62" s="43">
        <v>2</v>
      </c>
      <c r="X62" s="43">
        <v>4</v>
      </c>
      <c r="Y62" s="43">
        <v>2</v>
      </c>
      <c r="Z62" s="42">
        <f t="shared" si="85"/>
        <v>8</v>
      </c>
      <c r="AA62" s="43">
        <v>2</v>
      </c>
      <c r="AB62" s="43">
        <v>5</v>
      </c>
      <c r="AC62" s="43">
        <v>2</v>
      </c>
      <c r="AD62" s="42">
        <f t="shared" si="86"/>
        <v>9</v>
      </c>
      <c r="AE62" s="43">
        <v>2</v>
      </c>
      <c r="AF62" s="43">
        <v>6</v>
      </c>
      <c r="AG62" s="43">
        <v>2</v>
      </c>
      <c r="AH62" s="42">
        <f t="shared" si="87"/>
        <v>10</v>
      </c>
      <c r="AI62" s="43">
        <v>2</v>
      </c>
      <c r="AJ62" s="43">
        <v>6</v>
      </c>
      <c r="AK62" s="43">
        <v>2</v>
      </c>
      <c r="AL62" s="42">
        <f t="shared" si="88"/>
        <v>10</v>
      </c>
      <c r="AM62" s="43">
        <v>1</v>
      </c>
      <c r="AN62" s="43">
        <v>4</v>
      </c>
      <c r="AO62" s="43">
        <v>2</v>
      </c>
      <c r="AP62" s="42">
        <f t="shared" si="89"/>
        <v>7</v>
      </c>
      <c r="AQ62" s="43">
        <v>1</v>
      </c>
      <c r="AR62" s="43">
        <v>4</v>
      </c>
      <c r="AS62" s="43">
        <v>2</v>
      </c>
      <c r="AT62" s="42">
        <f t="shared" si="90"/>
        <v>7</v>
      </c>
      <c r="AU62" s="43">
        <v>1</v>
      </c>
      <c r="AV62" s="43">
        <v>4</v>
      </c>
      <c r="AW62" s="43">
        <v>2</v>
      </c>
      <c r="AX62" s="42">
        <f t="shared" si="91"/>
        <v>7</v>
      </c>
      <c r="AY62" s="43">
        <v>2</v>
      </c>
      <c r="AZ62" s="43">
        <v>6</v>
      </c>
      <c r="BA62" s="43">
        <v>2</v>
      </c>
      <c r="BB62" s="42">
        <f t="shared" si="92"/>
        <v>10</v>
      </c>
      <c r="BC62" s="43">
        <v>1</v>
      </c>
      <c r="BD62" s="43">
        <v>5</v>
      </c>
      <c r="BE62" s="43">
        <v>2</v>
      </c>
      <c r="BF62" s="42">
        <f t="shared" si="93"/>
        <v>8</v>
      </c>
      <c r="BG62" s="43">
        <v>2</v>
      </c>
      <c r="BH62" s="43">
        <v>4</v>
      </c>
      <c r="BI62" s="43">
        <v>2</v>
      </c>
      <c r="BJ62" s="42">
        <f t="shared" si="94"/>
        <v>8</v>
      </c>
      <c r="BK62" s="42">
        <f t="shared" si="95"/>
        <v>121</v>
      </c>
      <c r="BL62" s="44"/>
      <c r="BM62" s="77"/>
      <c r="BN62" s="79">
        <f t="shared" si="16"/>
        <v>40.333333333333329</v>
      </c>
      <c r="BO62" s="135">
        <v>40</v>
      </c>
    </row>
    <row r="63" spans="1:67" ht="21" customHeight="1" thickBot="1">
      <c r="A63" s="129" t="s">
        <v>70</v>
      </c>
      <c r="B63" s="123" t="s">
        <v>226</v>
      </c>
      <c r="C63" s="42">
        <v>2</v>
      </c>
      <c r="D63" s="42">
        <v>5</v>
      </c>
      <c r="E63" s="42">
        <v>2</v>
      </c>
      <c r="F63" s="42">
        <f t="shared" si="80"/>
        <v>9</v>
      </c>
      <c r="G63" s="43">
        <v>2</v>
      </c>
      <c r="H63" s="43">
        <v>2</v>
      </c>
      <c r="I63" s="43">
        <v>2</v>
      </c>
      <c r="J63" s="42">
        <f t="shared" si="81"/>
        <v>6</v>
      </c>
      <c r="K63" s="43">
        <v>2</v>
      </c>
      <c r="L63" s="43">
        <v>2</v>
      </c>
      <c r="M63" s="43">
        <v>2</v>
      </c>
      <c r="N63" s="42">
        <f t="shared" si="82"/>
        <v>6</v>
      </c>
      <c r="O63" s="43">
        <v>2</v>
      </c>
      <c r="P63" s="43">
        <v>4</v>
      </c>
      <c r="Q63" s="43">
        <v>2</v>
      </c>
      <c r="R63" s="42">
        <f t="shared" si="83"/>
        <v>8</v>
      </c>
      <c r="S63" s="43">
        <v>2</v>
      </c>
      <c r="T63" s="43">
        <v>4</v>
      </c>
      <c r="U63" s="43">
        <v>2</v>
      </c>
      <c r="V63" s="42">
        <f t="shared" si="84"/>
        <v>8</v>
      </c>
      <c r="W63" s="43">
        <v>2</v>
      </c>
      <c r="X63" s="43">
        <v>4</v>
      </c>
      <c r="Y63" s="43">
        <v>2</v>
      </c>
      <c r="Z63" s="42">
        <f t="shared" si="85"/>
        <v>8</v>
      </c>
      <c r="AA63" s="43">
        <v>2</v>
      </c>
      <c r="AB63" s="43">
        <v>5</v>
      </c>
      <c r="AC63" s="43">
        <v>2</v>
      </c>
      <c r="AD63" s="42">
        <f t="shared" si="86"/>
        <v>9</v>
      </c>
      <c r="AE63" s="43">
        <v>2</v>
      </c>
      <c r="AF63" s="43">
        <v>6</v>
      </c>
      <c r="AG63" s="43">
        <v>2</v>
      </c>
      <c r="AH63" s="42">
        <f t="shared" si="87"/>
        <v>10</v>
      </c>
      <c r="AI63" s="43">
        <v>2</v>
      </c>
      <c r="AJ63" s="43">
        <v>6</v>
      </c>
      <c r="AK63" s="43">
        <v>2</v>
      </c>
      <c r="AL63" s="42">
        <f t="shared" si="88"/>
        <v>10</v>
      </c>
      <c r="AM63" s="43">
        <v>1</v>
      </c>
      <c r="AN63" s="43">
        <v>4</v>
      </c>
      <c r="AO63" s="43">
        <v>2</v>
      </c>
      <c r="AP63" s="42">
        <f t="shared" si="89"/>
        <v>7</v>
      </c>
      <c r="AQ63" s="43">
        <v>1</v>
      </c>
      <c r="AR63" s="43">
        <v>4</v>
      </c>
      <c r="AS63" s="43">
        <v>2</v>
      </c>
      <c r="AT63" s="42">
        <f t="shared" si="90"/>
        <v>7</v>
      </c>
      <c r="AU63" s="43">
        <v>1</v>
      </c>
      <c r="AV63" s="43">
        <v>4</v>
      </c>
      <c r="AW63" s="43">
        <v>2</v>
      </c>
      <c r="AX63" s="42">
        <f t="shared" si="91"/>
        <v>7</v>
      </c>
      <c r="AY63" s="43">
        <v>2</v>
      </c>
      <c r="AZ63" s="43">
        <v>4</v>
      </c>
      <c r="BA63" s="43">
        <v>2</v>
      </c>
      <c r="BB63" s="42">
        <f t="shared" si="92"/>
        <v>8</v>
      </c>
      <c r="BC63" s="43">
        <v>1</v>
      </c>
      <c r="BD63" s="43">
        <v>5</v>
      </c>
      <c r="BE63" s="43">
        <v>2</v>
      </c>
      <c r="BF63" s="42">
        <f t="shared" si="93"/>
        <v>8</v>
      </c>
      <c r="BG63" s="43">
        <v>1</v>
      </c>
      <c r="BH63" s="43">
        <v>3</v>
      </c>
      <c r="BI63" s="43">
        <v>1</v>
      </c>
      <c r="BJ63" s="42">
        <f t="shared" si="94"/>
        <v>5</v>
      </c>
      <c r="BK63" s="42">
        <f t="shared" si="95"/>
        <v>116</v>
      </c>
      <c r="BL63" s="44"/>
      <c r="BM63" s="77"/>
      <c r="BN63" s="79">
        <f t="shared" si="16"/>
        <v>38.666666666666664</v>
      </c>
      <c r="BO63" s="135">
        <v>39</v>
      </c>
    </row>
    <row r="64" spans="1:67" ht="21" customHeight="1" thickBot="1">
      <c r="A64" s="129" t="s">
        <v>71</v>
      </c>
      <c r="B64" s="123" t="s">
        <v>227</v>
      </c>
      <c r="C64" s="42">
        <v>2</v>
      </c>
      <c r="D64" s="42">
        <v>5</v>
      </c>
      <c r="E64" s="42">
        <v>2</v>
      </c>
      <c r="F64" s="42">
        <f t="shared" si="80"/>
        <v>9</v>
      </c>
      <c r="G64" s="43">
        <v>2</v>
      </c>
      <c r="H64" s="43">
        <v>2</v>
      </c>
      <c r="I64" s="43">
        <v>2</v>
      </c>
      <c r="J64" s="42">
        <f t="shared" si="81"/>
        <v>6</v>
      </c>
      <c r="K64" s="43">
        <v>2</v>
      </c>
      <c r="L64" s="43">
        <v>2</v>
      </c>
      <c r="M64" s="43">
        <v>2</v>
      </c>
      <c r="N64" s="42">
        <f t="shared" si="82"/>
        <v>6</v>
      </c>
      <c r="O64" s="43">
        <v>2</v>
      </c>
      <c r="P64" s="43">
        <v>4</v>
      </c>
      <c r="Q64" s="43">
        <v>2</v>
      </c>
      <c r="R64" s="42">
        <f t="shared" si="83"/>
        <v>8</v>
      </c>
      <c r="S64" s="43">
        <v>2</v>
      </c>
      <c r="T64" s="43">
        <v>4</v>
      </c>
      <c r="U64" s="43">
        <v>2</v>
      </c>
      <c r="V64" s="42">
        <f t="shared" si="84"/>
        <v>8</v>
      </c>
      <c r="W64" s="43">
        <v>2</v>
      </c>
      <c r="X64" s="43">
        <v>4</v>
      </c>
      <c r="Y64" s="43">
        <v>2</v>
      </c>
      <c r="Z64" s="42">
        <f t="shared" si="85"/>
        <v>8</v>
      </c>
      <c r="AA64" s="43">
        <v>2</v>
      </c>
      <c r="AB64" s="43">
        <v>5</v>
      </c>
      <c r="AC64" s="43">
        <v>2</v>
      </c>
      <c r="AD64" s="42">
        <f t="shared" si="86"/>
        <v>9</v>
      </c>
      <c r="AE64" s="43">
        <v>2</v>
      </c>
      <c r="AF64" s="43">
        <v>6</v>
      </c>
      <c r="AG64" s="43">
        <v>2</v>
      </c>
      <c r="AH64" s="42">
        <f t="shared" si="87"/>
        <v>10</v>
      </c>
      <c r="AI64" s="43">
        <v>2</v>
      </c>
      <c r="AJ64" s="43">
        <v>6</v>
      </c>
      <c r="AK64" s="43">
        <v>2</v>
      </c>
      <c r="AL64" s="42">
        <f t="shared" si="88"/>
        <v>10</v>
      </c>
      <c r="AM64" s="43">
        <v>1</v>
      </c>
      <c r="AN64" s="43">
        <v>4</v>
      </c>
      <c r="AO64" s="43">
        <v>2</v>
      </c>
      <c r="AP64" s="42">
        <f t="shared" si="89"/>
        <v>7</v>
      </c>
      <c r="AQ64" s="43">
        <v>1</v>
      </c>
      <c r="AR64" s="43">
        <v>3</v>
      </c>
      <c r="AS64" s="43">
        <v>2</v>
      </c>
      <c r="AT64" s="42">
        <f t="shared" si="90"/>
        <v>6</v>
      </c>
      <c r="AU64" s="43">
        <v>1</v>
      </c>
      <c r="AV64" s="43">
        <v>4</v>
      </c>
      <c r="AW64" s="43">
        <v>2</v>
      </c>
      <c r="AX64" s="42">
        <f t="shared" si="91"/>
        <v>7</v>
      </c>
      <c r="AY64" s="43">
        <v>2</v>
      </c>
      <c r="AZ64" s="43">
        <v>6</v>
      </c>
      <c r="BA64" s="43">
        <v>2</v>
      </c>
      <c r="BB64" s="42">
        <f t="shared" si="92"/>
        <v>10</v>
      </c>
      <c r="BC64" s="43">
        <v>1</v>
      </c>
      <c r="BD64" s="43">
        <v>5</v>
      </c>
      <c r="BE64" s="43">
        <v>2</v>
      </c>
      <c r="BF64" s="42">
        <f t="shared" si="93"/>
        <v>8</v>
      </c>
      <c r="BG64" s="43">
        <v>1</v>
      </c>
      <c r="BH64" s="43">
        <v>3</v>
      </c>
      <c r="BI64" s="43">
        <v>2</v>
      </c>
      <c r="BJ64" s="42">
        <f t="shared" si="94"/>
        <v>6</v>
      </c>
      <c r="BK64" s="42">
        <f t="shared" si="95"/>
        <v>118</v>
      </c>
      <c r="BL64" s="44"/>
      <c r="BM64" s="77"/>
      <c r="BN64" s="79">
        <f t="shared" si="16"/>
        <v>39.333333333333329</v>
      </c>
      <c r="BO64" s="135">
        <v>39</v>
      </c>
    </row>
    <row r="65" spans="1:67" ht="21" customHeight="1" thickBot="1">
      <c r="A65" s="129" t="s">
        <v>72</v>
      </c>
      <c r="B65" s="123" t="s">
        <v>228</v>
      </c>
      <c r="C65" s="42">
        <v>2</v>
      </c>
      <c r="D65" s="42">
        <v>5</v>
      </c>
      <c r="E65" s="42">
        <v>2</v>
      </c>
      <c r="F65" s="42">
        <f t="shared" ref="F65:F80" si="96">C65+D65+E65</f>
        <v>9</v>
      </c>
      <c r="G65" s="43">
        <v>2</v>
      </c>
      <c r="H65" s="43">
        <v>2</v>
      </c>
      <c r="I65" s="43">
        <v>2</v>
      </c>
      <c r="J65" s="42">
        <f t="shared" ref="J65:J80" si="97">G65+H65+I65</f>
        <v>6</v>
      </c>
      <c r="K65" s="43">
        <v>2</v>
      </c>
      <c r="L65" s="43">
        <v>2</v>
      </c>
      <c r="M65" s="43">
        <v>2</v>
      </c>
      <c r="N65" s="42">
        <f t="shared" ref="N65:N80" si="98">K65+L65+M65</f>
        <v>6</v>
      </c>
      <c r="O65" s="43">
        <v>2</v>
      </c>
      <c r="P65" s="43">
        <v>4</v>
      </c>
      <c r="Q65" s="43">
        <v>2</v>
      </c>
      <c r="R65" s="42">
        <f t="shared" ref="R65:R80" si="99">O65+P65+Q65</f>
        <v>8</v>
      </c>
      <c r="S65" s="43">
        <v>2</v>
      </c>
      <c r="T65" s="43">
        <v>4</v>
      </c>
      <c r="U65" s="43">
        <v>2</v>
      </c>
      <c r="V65" s="42">
        <f t="shared" ref="V65:V80" si="100">S65+T65+U65</f>
        <v>8</v>
      </c>
      <c r="W65" s="43">
        <v>2</v>
      </c>
      <c r="X65" s="43">
        <v>4</v>
      </c>
      <c r="Y65" s="43">
        <v>2</v>
      </c>
      <c r="Z65" s="42">
        <f t="shared" ref="Z65:Z80" si="101">W65+X65+Y65</f>
        <v>8</v>
      </c>
      <c r="AA65" s="43">
        <v>2</v>
      </c>
      <c r="AB65" s="43">
        <v>5</v>
      </c>
      <c r="AC65" s="43">
        <v>2</v>
      </c>
      <c r="AD65" s="42">
        <f t="shared" ref="AD65:AD80" si="102">AA65+AB65+AC65</f>
        <v>9</v>
      </c>
      <c r="AE65" s="43">
        <v>2</v>
      </c>
      <c r="AF65" s="43">
        <v>6</v>
      </c>
      <c r="AG65" s="43">
        <v>2</v>
      </c>
      <c r="AH65" s="42">
        <f t="shared" ref="AH65:AH80" si="103">AE65+AF65+AG65</f>
        <v>10</v>
      </c>
      <c r="AI65" s="43">
        <v>2</v>
      </c>
      <c r="AJ65" s="43">
        <v>6</v>
      </c>
      <c r="AK65" s="43">
        <v>2</v>
      </c>
      <c r="AL65" s="42">
        <f t="shared" ref="AL65:AL80" si="104">AI65+AJ65+AK65</f>
        <v>10</v>
      </c>
      <c r="AM65" s="43">
        <v>1</v>
      </c>
      <c r="AN65" s="43">
        <v>4</v>
      </c>
      <c r="AO65" s="43">
        <v>2</v>
      </c>
      <c r="AP65" s="42">
        <f t="shared" ref="AP65:AP80" si="105">AM65+AN65+AO65</f>
        <v>7</v>
      </c>
      <c r="AQ65" s="43">
        <v>1</v>
      </c>
      <c r="AR65" s="43">
        <v>4</v>
      </c>
      <c r="AS65" s="43">
        <v>2</v>
      </c>
      <c r="AT65" s="42">
        <f t="shared" ref="AT65:AT80" si="106">AQ65+AR65+AS65</f>
        <v>7</v>
      </c>
      <c r="AU65" s="43">
        <v>1</v>
      </c>
      <c r="AV65" s="43">
        <v>4</v>
      </c>
      <c r="AW65" s="43">
        <v>2</v>
      </c>
      <c r="AX65" s="42">
        <f t="shared" ref="AX65:AX80" si="107">AU65+AV65+AW65</f>
        <v>7</v>
      </c>
      <c r="AY65" s="43">
        <v>2</v>
      </c>
      <c r="AZ65" s="43">
        <v>4</v>
      </c>
      <c r="BA65" s="43">
        <v>2</v>
      </c>
      <c r="BB65" s="42">
        <f t="shared" ref="BB65:BB80" si="108">AY65+AZ65+BA65</f>
        <v>8</v>
      </c>
      <c r="BC65" s="43">
        <v>1</v>
      </c>
      <c r="BD65" s="43">
        <v>5</v>
      </c>
      <c r="BE65" s="43">
        <v>2</v>
      </c>
      <c r="BF65" s="42">
        <f t="shared" ref="BF65:BF80" si="109">BC65+BD65+BE65</f>
        <v>8</v>
      </c>
      <c r="BG65" s="43">
        <v>1</v>
      </c>
      <c r="BH65" s="43">
        <v>4</v>
      </c>
      <c r="BI65" s="43">
        <v>1</v>
      </c>
      <c r="BJ65" s="42">
        <f t="shared" ref="BJ65:BJ80" si="110">BG65+BH65+BI65</f>
        <v>6</v>
      </c>
      <c r="BK65" s="42">
        <f t="shared" ref="BK65:BK80" si="111">SUM(F65,J65,N65,R65,V65,Z65,AD65,AH65,AL65,AP65,AT65,AX65,BB65,BF65,BJ65)</f>
        <v>117</v>
      </c>
      <c r="BL65" s="44"/>
      <c r="BM65" s="77"/>
      <c r="BN65" s="79">
        <f t="shared" si="16"/>
        <v>39</v>
      </c>
      <c r="BO65" s="135">
        <v>39</v>
      </c>
    </row>
    <row r="66" spans="1:67" ht="21" customHeight="1" thickBot="1">
      <c r="A66" s="129" t="s">
        <v>73</v>
      </c>
      <c r="B66" s="123" t="s">
        <v>229</v>
      </c>
      <c r="C66" s="42">
        <v>2</v>
      </c>
      <c r="D66" s="42">
        <v>5</v>
      </c>
      <c r="E66" s="42">
        <v>2</v>
      </c>
      <c r="F66" s="42">
        <f t="shared" si="96"/>
        <v>9</v>
      </c>
      <c r="G66" s="43">
        <v>2</v>
      </c>
      <c r="H66" s="43">
        <v>2</v>
      </c>
      <c r="I66" s="43">
        <v>2</v>
      </c>
      <c r="J66" s="42">
        <f t="shared" si="97"/>
        <v>6</v>
      </c>
      <c r="K66" s="43">
        <v>2</v>
      </c>
      <c r="L66" s="43">
        <v>2</v>
      </c>
      <c r="M66" s="43">
        <v>2</v>
      </c>
      <c r="N66" s="42">
        <f t="shared" si="98"/>
        <v>6</v>
      </c>
      <c r="O66" s="43">
        <v>2</v>
      </c>
      <c r="P66" s="43">
        <v>4</v>
      </c>
      <c r="Q66" s="43">
        <v>2</v>
      </c>
      <c r="R66" s="42">
        <f t="shared" si="99"/>
        <v>8</v>
      </c>
      <c r="S66" s="43">
        <v>2</v>
      </c>
      <c r="T66" s="43">
        <v>4</v>
      </c>
      <c r="U66" s="43">
        <v>2</v>
      </c>
      <c r="V66" s="42">
        <f t="shared" si="100"/>
        <v>8</v>
      </c>
      <c r="W66" s="43">
        <v>2</v>
      </c>
      <c r="X66" s="43">
        <v>4</v>
      </c>
      <c r="Y66" s="43">
        <v>2</v>
      </c>
      <c r="Z66" s="42">
        <f t="shared" si="101"/>
        <v>8</v>
      </c>
      <c r="AA66" s="43">
        <v>2</v>
      </c>
      <c r="AB66" s="43">
        <v>5</v>
      </c>
      <c r="AC66" s="43">
        <v>2</v>
      </c>
      <c r="AD66" s="42">
        <f t="shared" si="102"/>
        <v>9</v>
      </c>
      <c r="AE66" s="43">
        <v>2</v>
      </c>
      <c r="AF66" s="43">
        <v>6</v>
      </c>
      <c r="AG66" s="43">
        <v>2</v>
      </c>
      <c r="AH66" s="42">
        <f t="shared" si="103"/>
        <v>10</v>
      </c>
      <c r="AI66" s="43">
        <v>2</v>
      </c>
      <c r="AJ66" s="43">
        <v>6</v>
      </c>
      <c r="AK66" s="43">
        <v>2</v>
      </c>
      <c r="AL66" s="42">
        <f t="shared" si="104"/>
        <v>10</v>
      </c>
      <c r="AM66" s="43">
        <v>1</v>
      </c>
      <c r="AN66" s="43">
        <v>4</v>
      </c>
      <c r="AO66" s="43">
        <v>2</v>
      </c>
      <c r="AP66" s="42">
        <f t="shared" si="105"/>
        <v>7</v>
      </c>
      <c r="AQ66" s="43">
        <v>1</v>
      </c>
      <c r="AR66" s="43">
        <v>4</v>
      </c>
      <c r="AS66" s="43">
        <v>2</v>
      </c>
      <c r="AT66" s="42">
        <f t="shared" si="106"/>
        <v>7</v>
      </c>
      <c r="AU66" s="43">
        <v>1</v>
      </c>
      <c r="AV66" s="43">
        <v>4</v>
      </c>
      <c r="AW66" s="43">
        <v>2</v>
      </c>
      <c r="AX66" s="42">
        <f t="shared" si="107"/>
        <v>7</v>
      </c>
      <c r="AY66" s="43">
        <v>2</v>
      </c>
      <c r="AZ66" s="43">
        <v>6</v>
      </c>
      <c r="BA66" s="43">
        <v>2</v>
      </c>
      <c r="BB66" s="42">
        <f t="shared" si="108"/>
        <v>10</v>
      </c>
      <c r="BC66" s="43">
        <v>1</v>
      </c>
      <c r="BD66" s="43">
        <v>5</v>
      </c>
      <c r="BE66" s="43">
        <v>2</v>
      </c>
      <c r="BF66" s="42">
        <f t="shared" si="109"/>
        <v>8</v>
      </c>
      <c r="BG66" s="43">
        <v>2</v>
      </c>
      <c r="BH66" s="43">
        <v>5</v>
      </c>
      <c r="BI66" s="43">
        <v>2</v>
      </c>
      <c r="BJ66" s="42">
        <f t="shared" si="110"/>
        <v>9</v>
      </c>
      <c r="BK66" s="42">
        <f t="shared" si="111"/>
        <v>122</v>
      </c>
      <c r="BL66" s="44"/>
      <c r="BM66" s="77"/>
      <c r="BN66" s="79">
        <f t="shared" si="16"/>
        <v>40.666666666666664</v>
      </c>
      <c r="BO66" s="135">
        <v>41</v>
      </c>
    </row>
    <row r="67" spans="1:67" ht="21" customHeight="1" thickBot="1">
      <c r="A67" s="129" t="s">
        <v>74</v>
      </c>
      <c r="B67" s="123" t="s">
        <v>230</v>
      </c>
      <c r="C67" s="42">
        <v>2</v>
      </c>
      <c r="D67" s="42">
        <v>5</v>
      </c>
      <c r="E67" s="42">
        <v>2</v>
      </c>
      <c r="F67" s="42">
        <f t="shared" si="96"/>
        <v>9</v>
      </c>
      <c r="G67" s="43">
        <v>2</v>
      </c>
      <c r="H67" s="43">
        <v>2</v>
      </c>
      <c r="I67" s="43">
        <v>2</v>
      </c>
      <c r="J67" s="42">
        <f t="shared" si="97"/>
        <v>6</v>
      </c>
      <c r="K67" s="43">
        <v>2</v>
      </c>
      <c r="L67" s="43">
        <v>2</v>
      </c>
      <c r="M67" s="43">
        <v>2</v>
      </c>
      <c r="N67" s="42">
        <f t="shared" si="98"/>
        <v>6</v>
      </c>
      <c r="O67" s="43">
        <v>2</v>
      </c>
      <c r="P67" s="43">
        <v>4</v>
      </c>
      <c r="Q67" s="43">
        <v>2</v>
      </c>
      <c r="R67" s="42">
        <f t="shared" si="99"/>
        <v>8</v>
      </c>
      <c r="S67" s="43">
        <v>2</v>
      </c>
      <c r="T67" s="43">
        <v>4</v>
      </c>
      <c r="U67" s="43">
        <v>2</v>
      </c>
      <c r="V67" s="42">
        <f t="shared" si="100"/>
        <v>8</v>
      </c>
      <c r="W67" s="43">
        <v>2</v>
      </c>
      <c r="X67" s="43">
        <v>4</v>
      </c>
      <c r="Y67" s="43">
        <v>2</v>
      </c>
      <c r="Z67" s="42">
        <f t="shared" si="101"/>
        <v>8</v>
      </c>
      <c r="AA67" s="43">
        <v>2</v>
      </c>
      <c r="AB67" s="43">
        <v>5</v>
      </c>
      <c r="AC67" s="43">
        <v>2</v>
      </c>
      <c r="AD67" s="42">
        <f t="shared" si="102"/>
        <v>9</v>
      </c>
      <c r="AE67" s="43">
        <v>2</v>
      </c>
      <c r="AF67" s="43">
        <v>6</v>
      </c>
      <c r="AG67" s="43">
        <v>2</v>
      </c>
      <c r="AH67" s="42">
        <f t="shared" si="103"/>
        <v>10</v>
      </c>
      <c r="AI67" s="43">
        <v>2</v>
      </c>
      <c r="AJ67" s="43">
        <v>6</v>
      </c>
      <c r="AK67" s="43">
        <v>2</v>
      </c>
      <c r="AL67" s="42">
        <f t="shared" si="104"/>
        <v>10</v>
      </c>
      <c r="AM67" s="43">
        <v>1</v>
      </c>
      <c r="AN67" s="43">
        <v>4</v>
      </c>
      <c r="AO67" s="43">
        <v>2</v>
      </c>
      <c r="AP67" s="42">
        <f t="shared" si="105"/>
        <v>7</v>
      </c>
      <c r="AQ67" s="43">
        <v>1</v>
      </c>
      <c r="AR67" s="43">
        <v>4</v>
      </c>
      <c r="AS67" s="43">
        <v>1</v>
      </c>
      <c r="AT67" s="42">
        <f t="shared" si="106"/>
        <v>6</v>
      </c>
      <c r="AU67" s="43">
        <v>1</v>
      </c>
      <c r="AV67" s="43">
        <v>4</v>
      </c>
      <c r="AW67" s="43">
        <v>2</v>
      </c>
      <c r="AX67" s="42">
        <f t="shared" si="107"/>
        <v>7</v>
      </c>
      <c r="AY67" s="43">
        <v>1</v>
      </c>
      <c r="AZ67" s="43">
        <v>4</v>
      </c>
      <c r="BA67" s="43">
        <v>2</v>
      </c>
      <c r="BB67" s="42">
        <f t="shared" si="108"/>
        <v>7</v>
      </c>
      <c r="BC67" s="43">
        <v>1</v>
      </c>
      <c r="BD67" s="43">
        <v>5</v>
      </c>
      <c r="BE67" s="43">
        <v>2</v>
      </c>
      <c r="BF67" s="42">
        <f t="shared" si="109"/>
        <v>8</v>
      </c>
      <c r="BG67" s="43">
        <v>1</v>
      </c>
      <c r="BH67" s="43">
        <v>4</v>
      </c>
      <c r="BI67" s="43">
        <v>1</v>
      </c>
      <c r="BJ67" s="42">
        <f t="shared" si="110"/>
        <v>6</v>
      </c>
      <c r="BK67" s="42">
        <f t="shared" si="111"/>
        <v>115</v>
      </c>
      <c r="BL67" s="44"/>
      <c r="BM67" s="77"/>
      <c r="BN67" s="79">
        <f t="shared" si="16"/>
        <v>38.333333333333336</v>
      </c>
      <c r="BO67" s="135">
        <v>38</v>
      </c>
    </row>
    <row r="68" spans="1:67" ht="21" customHeight="1" thickBot="1">
      <c r="A68" s="129" t="s">
        <v>75</v>
      </c>
      <c r="B68" s="123" t="s">
        <v>231</v>
      </c>
      <c r="C68" s="42">
        <v>2</v>
      </c>
      <c r="D68" s="42">
        <v>5</v>
      </c>
      <c r="E68" s="42">
        <v>2</v>
      </c>
      <c r="F68" s="42">
        <f t="shared" si="96"/>
        <v>9</v>
      </c>
      <c r="G68" s="43">
        <v>2</v>
      </c>
      <c r="H68" s="43">
        <v>2</v>
      </c>
      <c r="I68" s="43">
        <v>2</v>
      </c>
      <c r="J68" s="42">
        <f t="shared" si="97"/>
        <v>6</v>
      </c>
      <c r="K68" s="43">
        <v>2</v>
      </c>
      <c r="L68" s="43">
        <v>2</v>
      </c>
      <c r="M68" s="43">
        <v>2</v>
      </c>
      <c r="N68" s="42">
        <f t="shared" si="98"/>
        <v>6</v>
      </c>
      <c r="O68" s="43">
        <v>2</v>
      </c>
      <c r="P68" s="43">
        <v>4</v>
      </c>
      <c r="Q68" s="43">
        <v>2</v>
      </c>
      <c r="R68" s="42">
        <f t="shared" si="99"/>
        <v>8</v>
      </c>
      <c r="S68" s="43">
        <v>2</v>
      </c>
      <c r="T68" s="43">
        <v>4</v>
      </c>
      <c r="U68" s="43">
        <v>2</v>
      </c>
      <c r="V68" s="42">
        <f t="shared" si="100"/>
        <v>8</v>
      </c>
      <c r="W68" s="43">
        <v>2</v>
      </c>
      <c r="X68" s="43">
        <v>4</v>
      </c>
      <c r="Y68" s="43">
        <v>2</v>
      </c>
      <c r="Z68" s="42">
        <f t="shared" si="101"/>
        <v>8</v>
      </c>
      <c r="AA68" s="43">
        <v>2</v>
      </c>
      <c r="AB68" s="43">
        <v>5</v>
      </c>
      <c r="AC68" s="43">
        <v>2</v>
      </c>
      <c r="AD68" s="42">
        <f t="shared" si="102"/>
        <v>9</v>
      </c>
      <c r="AE68" s="43">
        <v>2</v>
      </c>
      <c r="AF68" s="43">
        <v>6</v>
      </c>
      <c r="AG68" s="43">
        <v>2</v>
      </c>
      <c r="AH68" s="42">
        <f t="shared" si="103"/>
        <v>10</v>
      </c>
      <c r="AI68" s="43">
        <v>2</v>
      </c>
      <c r="AJ68" s="43">
        <v>6</v>
      </c>
      <c r="AK68" s="43">
        <v>2</v>
      </c>
      <c r="AL68" s="42">
        <f t="shared" si="104"/>
        <v>10</v>
      </c>
      <c r="AM68" s="43">
        <v>1</v>
      </c>
      <c r="AN68" s="43">
        <v>4</v>
      </c>
      <c r="AO68" s="43">
        <v>2</v>
      </c>
      <c r="AP68" s="42">
        <f t="shared" si="105"/>
        <v>7</v>
      </c>
      <c r="AQ68" s="43">
        <v>1</v>
      </c>
      <c r="AR68" s="43">
        <v>4</v>
      </c>
      <c r="AS68" s="43">
        <v>2</v>
      </c>
      <c r="AT68" s="42">
        <f t="shared" si="106"/>
        <v>7</v>
      </c>
      <c r="AU68" s="43">
        <v>2</v>
      </c>
      <c r="AV68" s="43">
        <v>6</v>
      </c>
      <c r="AW68" s="43">
        <v>2</v>
      </c>
      <c r="AX68" s="42">
        <f t="shared" si="107"/>
        <v>10</v>
      </c>
      <c r="AY68" s="43">
        <v>1</v>
      </c>
      <c r="AZ68" s="43">
        <v>4</v>
      </c>
      <c r="BA68" s="43">
        <v>1</v>
      </c>
      <c r="BB68" s="42">
        <f t="shared" si="108"/>
        <v>6</v>
      </c>
      <c r="BC68" s="43">
        <v>1</v>
      </c>
      <c r="BD68" s="43">
        <v>5</v>
      </c>
      <c r="BE68" s="43">
        <v>2</v>
      </c>
      <c r="BF68" s="42">
        <f t="shared" si="109"/>
        <v>8</v>
      </c>
      <c r="BG68" s="43">
        <v>1</v>
      </c>
      <c r="BH68" s="43">
        <v>4</v>
      </c>
      <c r="BI68" s="43">
        <v>1</v>
      </c>
      <c r="BJ68" s="42">
        <f t="shared" si="110"/>
        <v>6</v>
      </c>
      <c r="BK68" s="42">
        <f t="shared" si="111"/>
        <v>118</v>
      </c>
      <c r="BL68" s="44"/>
      <c r="BM68" s="77"/>
      <c r="BN68" s="79">
        <f t="shared" si="16"/>
        <v>39.333333333333329</v>
      </c>
      <c r="BO68" s="135">
        <v>39</v>
      </c>
    </row>
    <row r="69" spans="1:67" ht="21" customHeight="1" thickBot="1">
      <c r="A69" s="129" t="s">
        <v>76</v>
      </c>
      <c r="B69" s="123" t="s">
        <v>232</v>
      </c>
      <c r="C69" s="42">
        <v>2</v>
      </c>
      <c r="D69" s="42">
        <v>5</v>
      </c>
      <c r="E69" s="42">
        <v>2</v>
      </c>
      <c r="F69" s="42">
        <f t="shared" si="96"/>
        <v>9</v>
      </c>
      <c r="G69" s="43">
        <v>2</v>
      </c>
      <c r="H69" s="43">
        <v>2</v>
      </c>
      <c r="I69" s="43">
        <v>2</v>
      </c>
      <c r="J69" s="42">
        <f t="shared" si="97"/>
        <v>6</v>
      </c>
      <c r="K69" s="43">
        <v>2</v>
      </c>
      <c r="L69" s="43">
        <v>2</v>
      </c>
      <c r="M69" s="43">
        <v>2</v>
      </c>
      <c r="N69" s="42">
        <f t="shared" si="98"/>
        <v>6</v>
      </c>
      <c r="O69" s="43">
        <v>2</v>
      </c>
      <c r="P69" s="43">
        <v>4</v>
      </c>
      <c r="Q69" s="43">
        <v>2</v>
      </c>
      <c r="R69" s="42">
        <f t="shared" si="99"/>
        <v>8</v>
      </c>
      <c r="S69" s="43">
        <v>2</v>
      </c>
      <c r="T69" s="43">
        <v>4</v>
      </c>
      <c r="U69" s="43">
        <v>2</v>
      </c>
      <c r="V69" s="42">
        <f t="shared" si="100"/>
        <v>8</v>
      </c>
      <c r="W69" s="43">
        <v>2</v>
      </c>
      <c r="X69" s="43">
        <v>4</v>
      </c>
      <c r="Y69" s="43">
        <v>2</v>
      </c>
      <c r="Z69" s="42">
        <f t="shared" si="101"/>
        <v>8</v>
      </c>
      <c r="AA69" s="43">
        <v>2</v>
      </c>
      <c r="AB69" s="43">
        <v>5</v>
      </c>
      <c r="AC69" s="43">
        <v>2</v>
      </c>
      <c r="AD69" s="42">
        <f t="shared" si="102"/>
        <v>9</v>
      </c>
      <c r="AE69" s="43">
        <v>2</v>
      </c>
      <c r="AF69" s="43">
        <v>6</v>
      </c>
      <c r="AG69" s="43">
        <v>2</v>
      </c>
      <c r="AH69" s="42">
        <f t="shared" si="103"/>
        <v>10</v>
      </c>
      <c r="AI69" s="43">
        <v>2</v>
      </c>
      <c r="AJ69" s="43">
        <v>6</v>
      </c>
      <c r="AK69" s="43">
        <v>2</v>
      </c>
      <c r="AL69" s="42">
        <f t="shared" si="104"/>
        <v>10</v>
      </c>
      <c r="AM69" s="43">
        <v>1</v>
      </c>
      <c r="AN69" s="43">
        <v>4</v>
      </c>
      <c r="AO69" s="43">
        <v>2</v>
      </c>
      <c r="AP69" s="42">
        <f t="shared" si="105"/>
        <v>7</v>
      </c>
      <c r="AQ69" s="43">
        <v>1</v>
      </c>
      <c r="AR69" s="43">
        <v>4</v>
      </c>
      <c r="AS69" s="43">
        <v>2</v>
      </c>
      <c r="AT69" s="42">
        <f t="shared" si="106"/>
        <v>7</v>
      </c>
      <c r="AU69" s="43">
        <v>1</v>
      </c>
      <c r="AV69" s="43">
        <v>4</v>
      </c>
      <c r="AW69" s="43">
        <v>2</v>
      </c>
      <c r="AX69" s="42">
        <f t="shared" si="107"/>
        <v>7</v>
      </c>
      <c r="AY69" s="43">
        <v>2</v>
      </c>
      <c r="AZ69" s="43">
        <v>4</v>
      </c>
      <c r="BA69" s="43">
        <v>2</v>
      </c>
      <c r="BB69" s="42">
        <f t="shared" si="108"/>
        <v>8</v>
      </c>
      <c r="BC69" s="43">
        <v>1</v>
      </c>
      <c r="BD69" s="43">
        <v>4</v>
      </c>
      <c r="BE69" s="43">
        <v>2</v>
      </c>
      <c r="BF69" s="42">
        <f t="shared" si="109"/>
        <v>7</v>
      </c>
      <c r="BG69" s="43">
        <v>1</v>
      </c>
      <c r="BH69" s="43">
        <v>4</v>
      </c>
      <c r="BI69" s="43">
        <v>1</v>
      </c>
      <c r="BJ69" s="42">
        <f t="shared" si="110"/>
        <v>6</v>
      </c>
      <c r="BK69" s="42">
        <f t="shared" si="111"/>
        <v>116</v>
      </c>
      <c r="BL69" s="44"/>
      <c r="BM69" s="77"/>
      <c r="BN69" s="79">
        <f t="shared" si="16"/>
        <v>38.666666666666664</v>
      </c>
      <c r="BO69" s="135">
        <v>39</v>
      </c>
    </row>
    <row r="70" spans="1:67" ht="21" customHeight="1" thickBot="1">
      <c r="A70" s="130" t="s">
        <v>77</v>
      </c>
      <c r="B70" s="123" t="s">
        <v>233</v>
      </c>
      <c r="C70" s="42">
        <v>2</v>
      </c>
      <c r="D70" s="42">
        <v>5</v>
      </c>
      <c r="E70" s="42">
        <v>2</v>
      </c>
      <c r="F70" s="42">
        <f t="shared" si="96"/>
        <v>9</v>
      </c>
      <c r="G70" s="43">
        <v>2</v>
      </c>
      <c r="H70" s="43">
        <v>2</v>
      </c>
      <c r="I70" s="43">
        <v>2</v>
      </c>
      <c r="J70" s="42">
        <f t="shared" si="97"/>
        <v>6</v>
      </c>
      <c r="K70" s="43">
        <v>2</v>
      </c>
      <c r="L70" s="43">
        <v>2</v>
      </c>
      <c r="M70" s="43">
        <v>2</v>
      </c>
      <c r="N70" s="42">
        <f t="shared" si="98"/>
        <v>6</v>
      </c>
      <c r="O70" s="43">
        <v>2</v>
      </c>
      <c r="P70" s="43">
        <v>4</v>
      </c>
      <c r="Q70" s="43">
        <v>2</v>
      </c>
      <c r="R70" s="42">
        <f t="shared" si="99"/>
        <v>8</v>
      </c>
      <c r="S70" s="43">
        <v>2</v>
      </c>
      <c r="T70" s="43">
        <v>4</v>
      </c>
      <c r="U70" s="43">
        <v>2</v>
      </c>
      <c r="V70" s="42">
        <f t="shared" si="100"/>
        <v>8</v>
      </c>
      <c r="W70" s="43">
        <v>2</v>
      </c>
      <c r="X70" s="43">
        <v>4</v>
      </c>
      <c r="Y70" s="43">
        <v>2</v>
      </c>
      <c r="Z70" s="42">
        <f t="shared" si="101"/>
        <v>8</v>
      </c>
      <c r="AA70" s="43">
        <v>2</v>
      </c>
      <c r="AB70" s="43">
        <v>5</v>
      </c>
      <c r="AC70" s="43">
        <v>2</v>
      </c>
      <c r="AD70" s="42">
        <f t="shared" si="102"/>
        <v>9</v>
      </c>
      <c r="AE70" s="43">
        <v>2</v>
      </c>
      <c r="AF70" s="43">
        <v>6</v>
      </c>
      <c r="AG70" s="43">
        <v>2</v>
      </c>
      <c r="AH70" s="42">
        <f t="shared" si="103"/>
        <v>10</v>
      </c>
      <c r="AI70" s="43">
        <v>1</v>
      </c>
      <c r="AJ70" s="43">
        <v>3</v>
      </c>
      <c r="AK70" s="43">
        <v>1</v>
      </c>
      <c r="AL70" s="42">
        <f t="shared" si="104"/>
        <v>5</v>
      </c>
      <c r="AM70" s="43">
        <v>1</v>
      </c>
      <c r="AN70" s="43">
        <v>4</v>
      </c>
      <c r="AO70" s="43">
        <v>2</v>
      </c>
      <c r="AP70" s="42">
        <f t="shared" si="105"/>
        <v>7</v>
      </c>
      <c r="AQ70" s="43">
        <v>1</v>
      </c>
      <c r="AR70" s="43">
        <v>4</v>
      </c>
      <c r="AS70" s="43">
        <v>2</v>
      </c>
      <c r="AT70" s="42">
        <f t="shared" si="106"/>
        <v>7</v>
      </c>
      <c r="AU70" s="43">
        <v>1</v>
      </c>
      <c r="AV70" s="43">
        <v>4</v>
      </c>
      <c r="AW70" s="43">
        <v>2</v>
      </c>
      <c r="AX70" s="42">
        <f t="shared" si="107"/>
        <v>7</v>
      </c>
      <c r="AY70" s="43">
        <v>1</v>
      </c>
      <c r="AZ70" s="43">
        <v>4</v>
      </c>
      <c r="BA70" s="43">
        <v>1</v>
      </c>
      <c r="BB70" s="42">
        <f t="shared" si="108"/>
        <v>6</v>
      </c>
      <c r="BC70" s="43">
        <v>1</v>
      </c>
      <c r="BD70" s="43">
        <v>5</v>
      </c>
      <c r="BE70" s="43">
        <v>2</v>
      </c>
      <c r="BF70" s="42">
        <f t="shared" si="109"/>
        <v>8</v>
      </c>
      <c r="BG70" s="43">
        <v>1</v>
      </c>
      <c r="BH70" s="43">
        <v>3</v>
      </c>
      <c r="BI70" s="43">
        <v>1</v>
      </c>
      <c r="BJ70" s="42">
        <f t="shared" si="110"/>
        <v>5</v>
      </c>
      <c r="BK70" s="42">
        <f t="shared" si="111"/>
        <v>109</v>
      </c>
      <c r="BL70" s="44"/>
      <c r="BM70" s="77"/>
      <c r="BN70" s="79">
        <f t="shared" si="16"/>
        <v>36.333333333333336</v>
      </c>
      <c r="BO70" s="135">
        <v>36</v>
      </c>
    </row>
    <row r="71" spans="1:67" ht="21" customHeight="1" thickBot="1">
      <c r="A71" s="129" t="s">
        <v>78</v>
      </c>
      <c r="B71" s="123" t="s">
        <v>234</v>
      </c>
      <c r="C71" s="42">
        <v>2</v>
      </c>
      <c r="D71" s="42">
        <v>5</v>
      </c>
      <c r="E71" s="42">
        <v>2</v>
      </c>
      <c r="F71" s="42">
        <f t="shared" si="96"/>
        <v>9</v>
      </c>
      <c r="G71" s="43">
        <v>2</v>
      </c>
      <c r="H71" s="43">
        <v>2</v>
      </c>
      <c r="I71" s="43">
        <v>2</v>
      </c>
      <c r="J71" s="42">
        <f t="shared" si="97"/>
        <v>6</v>
      </c>
      <c r="K71" s="43">
        <v>2</v>
      </c>
      <c r="L71" s="43">
        <v>2</v>
      </c>
      <c r="M71" s="43">
        <v>2</v>
      </c>
      <c r="N71" s="42">
        <f t="shared" si="98"/>
        <v>6</v>
      </c>
      <c r="O71" s="43">
        <v>1</v>
      </c>
      <c r="P71" s="43">
        <v>4</v>
      </c>
      <c r="Q71" s="43">
        <v>1</v>
      </c>
      <c r="R71" s="42">
        <f t="shared" si="99"/>
        <v>6</v>
      </c>
      <c r="S71" s="43">
        <v>2</v>
      </c>
      <c r="T71" s="43">
        <v>4</v>
      </c>
      <c r="U71" s="43">
        <v>2</v>
      </c>
      <c r="V71" s="42">
        <f t="shared" si="100"/>
        <v>8</v>
      </c>
      <c r="W71" s="43">
        <v>2</v>
      </c>
      <c r="X71" s="43">
        <v>4</v>
      </c>
      <c r="Y71" s="43">
        <v>2</v>
      </c>
      <c r="Z71" s="42">
        <f t="shared" si="101"/>
        <v>8</v>
      </c>
      <c r="AA71" s="43">
        <v>2</v>
      </c>
      <c r="AB71" s="43">
        <v>4</v>
      </c>
      <c r="AC71" s="43">
        <v>2</v>
      </c>
      <c r="AD71" s="42">
        <f t="shared" si="102"/>
        <v>8</v>
      </c>
      <c r="AE71" s="43">
        <v>2</v>
      </c>
      <c r="AF71" s="43">
        <v>6</v>
      </c>
      <c r="AG71" s="43">
        <v>2</v>
      </c>
      <c r="AH71" s="42">
        <f t="shared" si="103"/>
        <v>10</v>
      </c>
      <c r="AI71" s="43">
        <v>2</v>
      </c>
      <c r="AJ71" s="43">
        <v>3</v>
      </c>
      <c r="AK71" s="43">
        <v>2</v>
      </c>
      <c r="AL71" s="42">
        <f t="shared" si="104"/>
        <v>7</v>
      </c>
      <c r="AM71" s="43">
        <v>1</v>
      </c>
      <c r="AN71" s="43">
        <v>4</v>
      </c>
      <c r="AO71" s="43">
        <v>1</v>
      </c>
      <c r="AP71" s="42">
        <f t="shared" si="105"/>
        <v>6</v>
      </c>
      <c r="AQ71" s="43">
        <v>1</v>
      </c>
      <c r="AR71" s="43">
        <v>4</v>
      </c>
      <c r="AS71" s="43">
        <v>2</v>
      </c>
      <c r="AT71" s="42">
        <f t="shared" si="106"/>
        <v>7</v>
      </c>
      <c r="AU71" s="43">
        <v>1</v>
      </c>
      <c r="AV71" s="43">
        <v>4</v>
      </c>
      <c r="AW71" s="43">
        <v>2</v>
      </c>
      <c r="AX71" s="42">
        <f t="shared" si="107"/>
        <v>7</v>
      </c>
      <c r="AY71" s="43">
        <v>1</v>
      </c>
      <c r="AZ71" s="43">
        <v>3</v>
      </c>
      <c r="BA71" s="43">
        <v>1</v>
      </c>
      <c r="BB71" s="42">
        <f t="shared" si="108"/>
        <v>5</v>
      </c>
      <c r="BC71" s="43">
        <v>1</v>
      </c>
      <c r="BD71" s="43">
        <v>5</v>
      </c>
      <c r="BE71" s="43">
        <v>2</v>
      </c>
      <c r="BF71" s="42">
        <f t="shared" si="109"/>
        <v>8</v>
      </c>
      <c r="BG71" s="43">
        <v>1</v>
      </c>
      <c r="BH71" s="43">
        <v>4</v>
      </c>
      <c r="BI71" s="43">
        <v>1</v>
      </c>
      <c r="BJ71" s="42">
        <f t="shared" si="110"/>
        <v>6</v>
      </c>
      <c r="BK71" s="42">
        <f t="shared" si="111"/>
        <v>107</v>
      </c>
      <c r="BL71" s="44"/>
      <c r="BM71" s="77"/>
      <c r="BN71" s="79">
        <f t="shared" si="16"/>
        <v>35.666666666666671</v>
      </c>
      <c r="BO71" s="135">
        <v>36</v>
      </c>
    </row>
    <row r="72" spans="1:67" ht="21" customHeight="1" thickBot="1">
      <c r="A72" s="129" t="s">
        <v>79</v>
      </c>
      <c r="B72" s="123" t="s">
        <v>235</v>
      </c>
      <c r="C72" s="42">
        <v>2</v>
      </c>
      <c r="D72" s="42">
        <v>5</v>
      </c>
      <c r="E72" s="42">
        <v>2</v>
      </c>
      <c r="F72" s="42">
        <f t="shared" si="96"/>
        <v>9</v>
      </c>
      <c r="G72" s="43">
        <v>2</v>
      </c>
      <c r="H72" s="43">
        <v>2</v>
      </c>
      <c r="I72" s="43">
        <v>2</v>
      </c>
      <c r="J72" s="42">
        <f t="shared" si="97"/>
        <v>6</v>
      </c>
      <c r="K72" s="43">
        <v>2</v>
      </c>
      <c r="L72" s="43">
        <v>2</v>
      </c>
      <c r="M72" s="43">
        <v>2</v>
      </c>
      <c r="N72" s="42">
        <f t="shared" si="98"/>
        <v>6</v>
      </c>
      <c r="O72" s="43">
        <v>2</v>
      </c>
      <c r="P72" s="43">
        <v>4</v>
      </c>
      <c r="Q72" s="43">
        <v>2</v>
      </c>
      <c r="R72" s="42">
        <f t="shared" si="99"/>
        <v>8</v>
      </c>
      <c r="S72" s="43">
        <v>2</v>
      </c>
      <c r="T72" s="43">
        <v>4</v>
      </c>
      <c r="U72" s="43">
        <v>2</v>
      </c>
      <c r="V72" s="42">
        <f t="shared" si="100"/>
        <v>8</v>
      </c>
      <c r="W72" s="43">
        <v>2</v>
      </c>
      <c r="X72" s="43">
        <v>4</v>
      </c>
      <c r="Y72" s="43">
        <v>2</v>
      </c>
      <c r="Z72" s="42">
        <f t="shared" si="101"/>
        <v>8</v>
      </c>
      <c r="AA72" s="43">
        <v>2</v>
      </c>
      <c r="AB72" s="43">
        <v>5</v>
      </c>
      <c r="AC72" s="43">
        <v>2</v>
      </c>
      <c r="AD72" s="42">
        <f t="shared" si="102"/>
        <v>9</v>
      </c>
      <c r="AE72" s="43">
        <v>2</v>
      </c>
      <c r="AF72" s="43">
        <v>6</v>
      </c>
      <c r="AG72" s="43">
        <v>2</v>
      </c>
      <c r="AH72" s="42">
        <f t="shared" si="103"/>
        <v>10</v>
      </c>
      <c r="AI72" s="43">
        <v>2</v>
      </c>
      <c r="AJ72" s="43">
        <v>6</v>
      </c>
      <c r="AK72" s="43">
        <v>2</v>
      </c>
      <c r="AL72" s="42">
        <f t="shared" si="104"/>
        <v>10</v>
      </c>
      <c r="AM72" s="43">
        <v>2</v>
      </c>
      <c r="AN72" s="43">
        <v>6</v>
      </c>
      <c r="AO72" s="43">
        <v>2</v>
      </c>
      <c r="AP72" s="42">
        <f t="shared" si="105"/>
        <v>10</v>
      </c>
      <c r="AQ72" s="43">
        <v>1</v>
      </c>
      <c r="AR72" s="43">
        <v>4</v>
      </c>
      <c r="AS72" s="43">
        <v>2</v>
      </c>
      <c r="AT72" s="42">
        <f t="shared" si="106"/>
        <v>7</v>
      </c>
      <c r="AU72" s="43">
        <v>2</v>
      </c>
      <c r="AV72" s="43">
        <v>6</v>
      </c>
      <c r="AW72" s="43">
        <v>2</v>
      </c>
      <c r="AX72" s="42">
        <f t="shared" si="107"/>
        <v>10</v>
      </c>
      <c r="AY72" s="43">
        <v>2</v>
      </c>
      <c r="AZ72" s="43">
        <v>6</v>
      </c>
      <c r="BA72" s="43">
        <v>2</v>
      </c>
      <c r="BB72" s="42">
        <f t="shared" si="108"/>
        <v>10</v>
      </c>
      <c r="BC72" s="43">
        <v>2</v>
      </c>
      <c r="BD72" s="43">
        <v>6</v>
      </c>
      <c r="BE72" s="43">
        <v>2</v>
      </c>
      <c r="BF72" s="42">
        <f t="shared" si="109"/>
        <v>10</v>
      </c>
      <c r="BG72" s="43">
        <v>2</v>
      </c>
      <c r="BH72" s="43">
        <v>6</v>
      </c>
      <c r="BI72" s="43">
        <v>2</v>
      </c>
      <c r="BJ72" s="42">
        <f t="shared" si="110"/>
        <v>10</v>
      </c>
      <c r="BK72" s="42">
        <f t="shared" si="111"/>
        <v>131</v>
      </c>
      <c r="BL72" s="44"/>
      <c r="BM72" s="77"/>
      <c r="BN72" s="79">
        <f t="shared" si="16"/>
        <v>43.666666666666664</v>
      </c>
      <c r="BO72" s="135">
        <v>44</v>
      </c>
    </row>
    <row r="73" spans="1:67" ht="21" customHeight="1" thickBot="1">
      <c r="A73" s="129" t="s">
        <v>80</v>
      </c>
      <c r="B73" s="123" t="s">
        <v>236</v>
      </c>
      <c r="C73" s="42">
        <v>2</v>
      </c>
      <c r="D73" s="42">
        <v>5</v>
      </c>
      <c r="E73" s="42">
        <v>2</v>
      </c>
      <c r="F73" s="42">
        <f t="shared" si="96"/>
        <v>9</v>
      </c>
      <c r="G73" s="43">
        <v>2</v>
      </c>
      <c r="H73" s="43">
        <v>2</v>
      </c>
      <c r="I73" s="43">
        <v>2</v>
      </c>
      <c r="J73" s="42">
        <f t="shared" si="97"/>
        <v>6</v>
      </c>
      <c r="K73" s="43">
        <v>2</v>
      </c>
      <c r="L73" s="43">
        <v>2</v>
      </c>
      <c r="M73" s="43">
        <v>2</v>
      </c>
      <c r="N73" s="42">
        <f t="shared" si="98"/>
        <v>6</v>
      </c>
      <c r="O73" s="43">
        <v>2</v>
      </c>
      <c r="P73" s="43">
        <v>4</v>
      </c>
      <c r="Q73" s="43">
        <v>2</v>
      </c>
      <c r="R73" s="42">
        <f t="shared" si="99"/>
        <v>8</v>
      </c>
      <c r="S73" s="43">
        <v>2</v>
      </c>
      <c r="T73" s="43">
        <v>4</v>
      </c>
      <c r="U73" s="43">
        <v>2</v>
      </c>
      <c r="V73" s="42">
        <f t="shared" si="100"/>
        <v>8</v>
      </c>
      <c r="W73" s="43">
        <v>2</v>
      </c>
      <c r="X73" s="43">
        <v>4</v>
      </c>
      <c r="Y73" s="43">
        <v>2</v>
      </c>
      <c r="Z73" s="42">
        <f t="shared" si="101"/>
        <v>8</v>
      </c>
      <c r="AA73" s="43">
        <v>2</v>
      </c>
      <c r="AB73" s="43">
        <v>5</v>
      </c>
      <c r="AC73" s="43">
        <v>2</v>
      </c>
      <c r="AD73" s="42">
        <f t="shared" si="102"/>
        <v>9</v>
      </c>
      <c r="AE73" s="43">
        <v>2</v>
      </c>
      <c r="AF73" s="43">
        <v>6</v>
      </c>
      <c r="AG73" s="43">
        <v>2</v>
      </c>
      <c r="AH73" s="42">
        <f t="shared" si="103"/>
        <v>10</v>
      </c>
      <c r="AI73" s="43">
        <v>2</v>
      </c>
      <c r="AJ73" s="43">
        <v>6</v>
      </c>
      <c r="AK73" s="43">
        <v>2</v>
      </c>
      <c r="AL73" s="42">
        <f t="shared" si="104"/>
        <v>10</v>
      </c>
      <c r="AM73" s="43">
        <v>1</v>
      </c>
      <c r="AN73" s="43">
        <v>4</v>
      </c>
      <c r="AO73" s="43">
        <v>2</v>
      </c>
      <c r="AP73" s="42">
        <f t="shared" si="105"/>
        <v>7</v>
      </c>
      <c r="AQ73" s="43">
        <v>1</v>
      </c>
      <c r="AR73" s="43">
        <v>4</v>
      </c>
      <c r="AS73" s="43">
        <v>2</v>
      </c>
      <c r="AT73" s="42">
        <f t="shared" si="106"/>
        <v>7</v>
      </c>
      <c r="AU73" s="43">
        <v>1</v>
      </c>
      <c r="AV73" s="43">
        <v>4</v>
      </c>
      <c r="AW73" s="43">
        <v>2</v>
      </c>
      <c r="AX73" s="42">
        <f t="shared" si="107"/>
        <v>7</v>
      </c>
      <c r="AY73" s="43">
        <v>2</v>
      </c>
      <c r="AZ73" s="43">
        <v>6</v>
      </c>
      <c r="BA73" s="43">
        <v>2</v>
      </c>
      <c r="BB73" s="42">
        <f t="shared" si="108"/>
        <v>10</v>
      </c>
      <c r="BC73" s="43">
        <v>1</v>
      </c>
      <c r="BD73" s="43">
        <v>5</v>
      </c>
      <c r="BE73" s="43">
        <v>2</v>
      </c>
      <c r="BF73" s="42">
        <f t="shared" si="109"/>
        <v>8</v>
      </c>
      <c r="BG73" s="43">
        <v>2</v>
      </c>
      <c r="BH73" s="43">
        <v>5</v>
      </c>
      <c r="BI73" s="43">
        <v>2</v>
      </c>
      <c r="BJ73" s="42">
        <f t="shared" si="110"/>
        <v>9</v>
      </c>
      <c r="BK73" s="42">
        <f t="shared" si="111"/>
        <v>122</v>
      </c>
      <c r="BL73" s="44"/>
      <c r="BM73" s="77"/>
      <c r="BN73" s="79">
        <f t="shared" si="16"/>
        <v>40.666666666666664</v>
      </c>
      <c r="BO73" s="135">
        <v>41</v>
      </c>
    </row>
    <row r="74" spans="1:67" ht="21" customHeight="1" thickBot="1">
      <c r="A74" s="129" t="s">
        <v>81</v>
      </c>
      <c r="B74" s="123" t="s">
        <v>237</v>
      </c>
      <c r="C74" s="42">
        <v>2</v>
      </c>
      <c r="D74" s="42">
        <v>5</v>
      </c>
      <c r="E74" s="42">
        <v>2</v>
      </c>
      <c r="F74" s="42">
        <f t="shared" si="96"/>
        <v>9</v>
      </c>
      <c r="G74" s="43">
        <v>2</v>
      </c>
      <c r="H74" s="43">
        <v>2</v>
      </c>
      <c r="I74" s="43">
        <v>2</v>
      </c>
      <c r="J74" s="42">
        <f t="shared" si="97"/>
        <v>6</v>
      </c>
      <c r="K74" s="43">
        <v>2</v>
      </c>
      <c r="L74" s="43">
        <v>2</v>
      </c>
      <c r="M74" s="43">
        <v>2</v>
      </c>
      <c r="N74" s="42">
        <f t="shared" si="98"/>
        <v>6</v>
      </c>
      <c r="O74" s="43">
        <v>2</v>
      </c>
      <c r="P74" s="43">
        <v>6</v>
      </c>
      <c r="Q74" s="43">
        <v>2</v>
      </c>
      <c r="R74" s="42">
        <f t="shared" si="99"/>
        <v>10</v>
      </c>
      <c r="S74" s="43">
        <v>2</v>
      </c>
      <c r="T74" s="43">
        <v>4</v>
      </c>
      <c r="U74" s="43">
        <v>2</v>
      </c>
      <c r="V74" s="42">
        <f t="shared" si="100"/>
        <v>8</v>
      </c>
      <c r="W74" s="43">
        <v>2</v>
      </c>
      <c r="X74" s="43">
        <v>4</v>
      </c>
      <c r="Y74" s="43">
        <v>2</v>
      </c>
      <c r="Z74" s="42">
        <f t="shared" si="101"/>
        <v>8</v>
      </c>
      <c r="AA74" s="43">
        <v>2</v>
      </c>
      <c r="AB74" s="43">
        <v>6</v>
      </c>
      <c r="AC74" s="43">
        <v>2</v>
      </c>
      <c r="AD74" s="42">
        <f t="shared" si="102"/>
        <v>10</v>
      </c>
      <c r="AE74" s="43">
        <v>2</v>
      </c>
      <c r="AF74" s="43">
        <v>6</v>
      </c>
      <c r="AG74" s="43">
        <v>2</v>
      </c>
      <c r="AH74" s="42">
        <f t="shared" si="103"/>
        <v>10</v>
      </c>
      <c r="AI74" s="43">
        <v>2</v>
      </c>
      <c r="AJ74" s="43">
        <v>6</v>
      </c>
      <c r="AK74" s="43">
        <v>2</v>
      </c>
      <c r="AL74" s="42">
        <f t="shared" si="104"/>
        <v>10</v>
      </c>
      <c r="AM74" s="43">
        <v>2</v>
      </c>
      <c r="AN74" s="43">
        <v>4</v>
      </c>
      <c r="AO74" s="43">
        <v>2</v>
      </c>
      <c r="AP74" s="42">
        <f t="shared" si="105"/>
        <v>8</v>
      </c>
      <c r="AQ74" s="43">
        <v>1</v>
      </c>
      <c r="AR74" s="43">
        <v>4</v>
      </c>
      <c r="AS74" s="43">
        <v>2</v>
      </c>
      <c r="AT74" s="42">
        <f t="shared" si="106"/>
        <v>7</v>
      </c>
      <c r="AU74" s="43">
        <v>2</v>
      </c>
      <c r="AV74" s="43">
        <v>6</v>
      </c>
      <c r="AW74" s="43">
        <v>2</v>
      </c>
      <c r="AX74" s="42">
        <f t="shared" si="107"/>
        <v>10</v>
      </c>
      <c r="AY74" s="43">
        <v>2</v>
      </c>
      <c r="AZ74" s="43">
        <v>6</v>
      </c>
      <c r="BA74" s="43">
        <v>2</v>
      </c>
      <c r="BB74" s="42">
        <f t="shared" si="108"/>
        <v>10</v>
      </c>
      <c r="BC74" s="43">
        <v>2</v>
      </c>
      <c r="BD74" s="43">
        <v>6</v>
      </c>
      <c r="BE74" s="43">
        <v>2</v>
      </c>
      <c r="BF74" s="42">
        <f t="shared" si="109"/>
        <v>10</v>
      </c>
      <c r="BG74" s="43">
        <v>2</v>
      </c>
      <c r="BH74" s="43">
        <v>6</v>
      </c>
      <c r="BI74" s="43">
        <v>2</v>
      </c>
      <c r="BJ74" s="42">
        <f t="shared" si="110"/>
        <v>10</v>
      </c>
      <c r="BK74" s="42">
        <f t="shared" si="111"/>
        <v>132</v>
      </c>
      <c r="BL74" s="44"/>
      <c r="BM74" s="77"/>
      <c r="BN74" s="79">
        <f t="shared" si="16"/>
        <v>44</v>
      </c>
      <c r="BO74" s="135">
        <v>44</v>
      </c>
    </row>
    <row r="75" spans="1:67" ht="21" customHeight="1" thickBot="1">
      <c r="A75" s="129" t="s">
        <v>82</v>
      </c>
      <c r="B75" s="123" t="s">
        <v>238</v>
      </c>
      <c r="C75" s="42">
        <v>2</v>
      </c>
      <c r="D75" s="42">
        <v>5</v>
      </c>
      <c r="E75" s="42">
        <v>2</v>
      </c>
      <c r="F75" s="42">
        <f t="shared" si="96"/>
        <v>9</v>
      </c>
      <c r="G75" s="43">
        <v>2</v>
      </c>
      <c r="H75" s="43">
        <v>2</v>
      </c>
      <c r="I75" s="43">
        <v>2</v>
      </c>
      <c r="J75" s="42">
        <f t="shared" si="97"/>
        <v>6</v>
      </c>
      <c r="K75" s="43">
        <v>2</v>
      </c>
      <c r="L75" s="43">
        <v>2</v>
      </c>
      <c r="M75" s="43">
        <v>2</v>
      </c>
      <c r="N75" s="42">
        <f t="shared" si="98"/>
        <v>6</v>
      </c>
      <c r="O75" s="43">
        <v>2</v>
      </c>
      <c r="P75" s="43">
        <v>4</v>
      </c>
      <c r="Q75" s="43">
        <v>2</v>
      </c>
      <c r="R75" s="42">
        <f t="shared" si="99"/>
        <v>8</v>
      </c>
      <c r="S75" s="43">
        <v>2</v>
      </c>
      <c r="T75" s="43">
        <v>4</v>
      </c>
      <c r="U75" s="43">
        <v>2</v>
      </c>
      <c r="V75" s="42">
        <f t="shared" si="100"/>
        <v>8</v>
      </c>
      <c r="W75" s="43">
        <v>2</v>
      </c>
      <c r="X75" s="43">
        <v>4</v>
      </c>
      <c r="Y75" s="43">
        <v>2</v>
      </c>
      <c r="Z75" s="42">
        <f t="shared" si="101"/>
        <v>8</v>
      </c>
      <c r="AA75" s="43">
        <v>2</v>
      </c>
      <c r="AB75" s="43">
        <v>5</v>
      </c>
      <c r="AC75" s="43">
        <v>2</v>
      </c>
      <c r="AD75" s="42">
        <f t="shared" si="102"/>
        <v>9</v>
      </c>
      <c r="AE75" s="43">
        <v>2</v>
      </c>
      <c r="AF75" s="43">
        <v>6</v>
      </c>
      <c r="AG75" s="43">
        <v>2</v>
      </c>
      <c r="AH75" s="42">
        <f t="shared" si="103"/>
        <v>10</v>
      </c>
      <c r="AI75" s="43">
        <v>2</v>
      </c>
      <c r="AJ75" s="43">
        <v>6</v>
      </c>
      <c r="AK75" s="43">
        <v>2</v>
      </c>
      <c r="AL75" s="42">
        <f t="shared" si="104"/>
        <v>10</v>
      </c>
      <c r="AM75" s="43">
        <v>1</v>
      </c>
      <c r="AN75" s="43">
        <v>4</v>
      </c>
      <c r="AO75" s="43">
        <v>2</v>
      </c>
      <c r="AP75" s="42">
        <f t="shared" si="105"/>
        <v>7</v>
      </c>
      <c r="AQ75" s="43">
        <v>1</v>
      </c>
      <c r="AR75" s="43">
        <v>4</v>
      </c>
      <c r="AS75" s="43">
        <v>2</v>
      </c>
      <c r="AT75" s="42">
        <f t="shared" si="106"/>
        <v>7</v>
      </c>
      <c r="AU75" s="43">
        <v>1</v>
      </c>
      <c r="AV75" s="43">
        <v>4</v>
      </c>
      <c r="AW75" s="43">
        <v>2</v>
      </c>
      <c r="AX75" s="42">
        <f t="shared" si="107"/>
        <v>7</v>
      </c>
      <c r="AY75" s="43">
        <v>2</v>
      </c>
      <c r="AZ75" s="43">
        <v>6</v>
      </c>
      <c r="BA75" s="43">
        <v>2</v>
      </c>
      <c r="BB75" s="42">
        <f t="shared" si="108"/>
        <v>10</v>
      </c>
      <c r="BC75" s="43">
        <v>1</v>
      </c>
      <c r="BD75" s="43">
        <v>5</v>
      </c>
      <c r="BE75" s="43">
        <v>2</v>
      </c>
      <c r="BF75" s="42">
        <f t="shared" si="109"/>
        <v>8</v>
      </c>
      <c r="BG75" s="43">
        <v>2</v>
      </c>
      <c r="BH75" s="43">
        <v>5</v>
      </c>
      <c r="BI75" s="43">
        <v>2</v>
      </c>
      <c r="BJ75" s="42">
        <f t="shared" si="110"/>
        <v>9</v>
      </c>
      <c r="BK75" s="42">
        <f t="shared" si="111"/>
        <v>122</v>
      </c>
      <c r="BL75" s="44"/>
      <c r="BM75" s="77"/>
      <c r="BN75" s="79">
        <f t="shared" ref="BN75:BN90" si="112">(BK75/150)*50</f>
        <v>40.666666666666664</v>
      </c>
      <c r="BO75" s="135">
        <v>39</v>
      </c>
    </row>
    <row r="76" spans="1:67" ht="21" customHeight="1" thickBot="1">
      <c r="A76" s="129" t="s">
        <v>83</v>
      </c>
      <c r="B76" s="123" t="s">
        <v>239</v>
      </c>
      <c r="C76" s="42">
        <v>2</v>
      </c>
      <c r="D76" s="42">
        <v>5</v>
      </c>
      <c r="E76" s="42">
        <v>2</v>
      </c>
      <c r="F76" s="42">
        <f t="shared" si="96"/>
        <v>9</v>
      </c>
      <c r="G76" s="43">
        <v>2</v>
      </c>
      <c r="H76" s="43">
        <v>2</v>
      </c>
      <c r="I76" s="43">
        <v>2</v>
      </c>
      <c r="J76" s="42">
        <f t="shared" si="97"/>
        <v>6</v>
      </c>
      <c r="K76" s="43">
        <v>2</v>
      </c>
      <c r="L76" s="43">
        <v>2</v>
      </c>
      <c r="M76" s="43">
        <v>2</v>
      </c>
      <c r="N76" s="42">
        <f t="shared" si="98"/>
        <v>6</v>
      </c>
      <c r="O76" s="43">
        <v>2</v>
      </c>
      <c r="P76" s="43">
        <v>4</v>
      </c>
      <c r="Q76" s="43">
        <v>2</v>
      </c>
      <c r="R76" s="42">
        <f t="shared" si="99"/>
        <v>8</v>
      </c>
      <c r="S76" s="43">
        <v>2</v>
      </c>
      <c r="T76" s="43">
        <v>4</v>
      </c>
      <c r="U76" s="43">
        <v>2</v>
      </c>
      <c r="V76" s="42">
        <f t="shared" si="100"/>
        <v>8</v>
      </c>
      <c r="W76" s="43">
        <v>2</v>
      </c>
      <c r="X76" s="43">
        <v>4</v>
      </c>
      <c r="Y76" s="43">
        <v>2</v>
      </c>
      <c r="Z76" s="42">
        <f t="shared" si="101"/>
        <v>8</v>
      </c>
      <c r="AA76" s="43">
        <v>2</v>
      </c>
      <c r="AB76" s="43">
        <v>5</v>
      </c>
      <c r="AC76" s="43">
        <v>2</v>
      </c>
      <c r="AD76" s="42">
        <f t="shared" si="102"/>
        <v>9</v>
      </c>
      <c r="AE76" s="43">
        <v>1</v>
      </c>
      <c r="AF76" s="43">
        <v>6</v>
      </c>
      <c r="AG76" s="43">
        <v>1</v>
      </c>
      <c r="AH76" s="42">
        <f t="shared" si="103"/>
        <v>8</v>
      </c>
      <c r="AI76" s="43">
        <v>2</v>
      </c>
      <c r="AJ76" s="43">
        <v>3</v>
      </c>
      <c r="AK76" s="43">
        <v>2</v>
      </c>
      <c r="AL76" s="42">
        <f t="shared" si="104"/>
        <v>7</v>
      </c>
      <c r="AM76" s="43">
        <v>1</v>
      </c>
      <c r="AN76" s="43">
        <v>4</v>
      </c>
      <c r="AO76" s="43">
        <v>2</v>
      </c>
      <c r="AP76" s="42">
        <f t="shared" si="105"/>
        <v>7</v>
      </c>
      <c r="AQ76" s="43">
        <v>1</v>
      </c>
      <c r="AR76" s="43">
        <v>3</v>
      </c>
      <c r="AS76" s="43">
        <v>2</v>
      </c>
      <c r="AT76" s="42">
        <f t="shared" si="106"/>
        <v>6</v>
      </c>
      <c r="AU76" s="43">
        <v>1</v>
      </c>
      <c r="AV76" s="43">
        <v>4</v>
      </c>
      <c r="AW76" s="43">
        <v>2</v>
      </c>
      <c r="AX76" s="42">
        <f t="shared" si="107"/>
        <v>7</v>
      </c>
      <c r="AY76" s="43">
        <v>1</v>
      </c>
      <c r="AZ76" s="43">
        <v>4</v>
      </c>
      <c r="BA76" s="43">
        <v>1</v>
      </c>
      <c r="BB76" s="42">
        <f t="shared" si="108"/>
        <v>6</v>
      </c>
      <c r="BC76" s="43">
        <v>1</v>
      </c>
      <c r="BD76" s="43">
        <v>4</v>
      </c>
      <c r="BE76" s="43">
        <v>2</v>
      </c>
      <c r="BF76" s="42">
        <f t="shared" si="109"/>
        <v>7</v>
      </c>
      <c r="BG76" s="43">
        <v>1</v>
      </c>
      <c r="BH76" s="43">
        <v>4</v>
      </c>
      <c r="BI76" s="43">
        <v>1</v>
      </c>
      <c r="BJ76" s="42">
        <f t="shared" si="110"/>
        <v>6</v>
      </c>
      <c r="BK76" s="42">
        <f t="shared" si="111"/>
        <v>108</v>
      </c>
      <c r="BL76" s="44"/>
      <c r="BM76" s="77"/>
      <c r="BN76" s="79">
        <f t="shared" si="112"/>
        <v>36</v>
      </c>
      <c r="BO76" s="135">
        <v>36</v>
      </c>
    </row>
    <row r="77" spans="1:67" ht="21" customHeight="1" thickBot="1">
      <c r="A77" s="129" t="s">
        <v>84</v>
      </c>
      <c r="B77" s="123" t="s">
        <v>240</v>
      </c>
      <c r="C77" s="42">
        <v>2</v>
      </c>
      <c r="D77" s="42">
        <v>5</v>
      </c>
      <c r="E77" s="42">
        <v>2</v>
      </c>
      <c r="F77" s="42">
        <f t="shared" si="96"/>
        <v>9</v>
      </c>
      <c r="G77" s="43">
        <v>2</v>
      </c>
      <c r="H77" s="43">
        <v>2</v>
      </c>
      <c r="I77" s="43">
        <v>2</v>
      </c>
      <c r="J77" s="42">
        <f t="shared" si="97"/>
        <v>6</v>
      </c>
      <c r="K77" s="43">
        <v>2</v>
      </c>
      <c r="L77" s="43">
        <v>2</v>
      </c>
      <c r="M77" s="43">
        <v>2</v>
      </c>
      <c r="N77" s="42">
        <f t="shared" si="98"/>
        <v>6</v>
      </c>
      <c r="O77" s="43">
        <v>2</v>
      </c>
      <c r="P77" s="43">
        <v>4</v>
      </c>
      <c r="Q77" s="43">
        <v>2</v>
      </c>
      <c r="R77" s="42">
        <f t="shared" si="99"/>
        <v>8</v>
      </c>
      <c r="S77" s="43">
        <v>2</v>
      </c>
      <c r="T77" s="43">
        <v>4</v>
      </c>
      <c r="U77" s="43">
        <v>2</v>
      </c>
      <c r="V77" s="42">
        <f t="shared" si="100"/>
        <v>8</v>
      </c>
      <c r="W77" s="43">
        <v>2</v>
      </c>
      <c r="X77" s="43">
        <v>4</v>
      </c>
      <c r="Y77" s="43">
        <v>2</v>
      </c>
      <c r="Z77" s="42">
        <f t="shared" si="101"/>
        <v>8</v>
      </c>
      <c r="AA77" s="43">
        <v>1</v>
      </c>
      <c r="AB77" s="43">
        <v>3</v>
      </c>
      <c r="AC77" s="43">
        <v>2</v>
      </c>
      <c r="AD77" s="42">
        <f t="shared" si="102"/>
        <v>6</v>
      </c>
      <c r="AE77" s="43">
        <v>2</v>
      </c>
      <c r="AF77" s="43">
        <v>6</v>
      </c>
      <c r="AG77" s="43">
        <v>2</v>
      </c>
      <c r="AH77" s="42">
        <f t="shared" si="103"/>
        <v>10</v>
      </c>
      <c r="AI77" s="43">
        <v>2</v>
      </c>
      <c r="AJ77" s="43">
        <v>4</v>
      </c>
      <c r="AK77" s="43">
        <v>2</v>
      </c>
      <c r="AL77" s="42">
        <f t="shared" si="104"/>
        <v>8</v>
      </c>
      <c r="AM77" s="43">
        <v>1</v>
      </c>
      <c r="AN77" s="43">
        <v>4</v>
      </c>
      <c r="AO77" s="43">
        <v>2</v>
      </c>
      <c r="AP77" s="42">
        <f t="shared" si="105"/>
        <v>7</v>
      </c>
      <c r="AQ77" s="43">
        <v>1</v>
      </c>
      <c r="AR77" s="43">
        <v>3</v>
      </c>
      <c r="AS77" s="43">
        <v>2</v>
      </c>
      <c r="AT77" s="42">
        <f t="shared" si="106"/>
        <v>6</v>
      </c>
      <c r="AU77" s="43">
        <v>1</v>
      </c>
      <c r="AV77" s="43">
        <v>4</v>
      </c>
      <c r="AW77" s="43">
        <v>2</v>
      </c>
      <c r="AX77" s="42">
        <f t="shared" si="107"/>
        <v>7</v>
      </c>
      <c r="AY77" s="43">
        <v>2</v>
      </c>
      <c r="AZ77" s="43">
        <v>6</v>
      </c>
      <c r="BA77" s="43">
        <v>2</v>
      </c>
      <c r="BB77" s="42">
        <f t="shared" si="108"/>
        <v>10</v>
      </c>
      <c r="BC77" s="43">
        <v>1</v>
      </c>
      <c r="BD77" s="43">
        <v>4</v>
      </c>
      <c r="BE77" s="43">
        <v>2</v>
      </c>
      <c r="BF77" s="42">
        <f t="shared" si="109"/>
        <v>7</v>
      </c>
      <c r="BG77" s="43">
        <v>1</v>
      </c>
      <c r="BH77" s="43">
        <v>4</v>
      </c>
      <c r="BI77" s="43">
        <v>1</v>
      </c>
      <c r="BJ77" s="42">
        <f t="shared" si="110"/>
        <v>6</v>
      </c>
      <c r="BK77" s="42">
        <f t="shared" si="111"/>
        <v>112</v>
      </c>
      <c r="BL77" s="44"/>
      <c r="BM77" s="77"/>
      <c r="BN77" s="79">
        <f t="shared" si="112"/>
        <v>37.333333333333336</v>
      </c>
      <c r="BO77" s="135">
        <v>37</v>
      </c>
    </row>
    <row r="78" spans="1:67" ht="21" customHeight="1" thickBot="1">
      <c r="A78" s="129" t="s">
        <v>85</v>
      </c>
      <c r="B78" s="123" t="s">
        <v>241</v>
      </c>
      <c r="C78" s="42">
        <v>2</v>
      </c>
      <c r="D78" s="42">
        <v>5</v>
      </c>
      <c r="E78" s="42">
        <v>2</v>
      </c>
      <c r="F78" s="42">
        <f t="shared" si="96"/>
        <v>9</v>
      </c>
      <c r="G78" s="43">
        <v>2</v>
      </c>
      <c r="H78" s="43">
        <v>2</v>
      </c>
      <c r="I78" s="43">
        <v>2</v>
      </c>
      <c r="J78" s="42">
        <f t="shared" si="97"/>
        <v>6</v>
      </c>
      <c r="K78" s="43">
        <v>2</v>
      </c>
      <c r="L78" s="43">
        <v>2</v>
      </c>
      <c r="M78" s="43">
        <v>2</v>
      </c>
      <c r="N78" s="42">
        <f t="shared" si="98"/>
        <v>6</v>
      </c>
      <c r="O78" s="43">
        <v>2</v>
      </c>
      <c r="P78" s="43">
        <v>4</v>
      </c>
      <c r="Q78" s="43">
        <v>2</v>
      </c>
      <c r="R78" s="42">
        <f t="shared" si="99"/>
        <v>8</v>
      </c>
      <c r="S78" s="43">
        <v>2</v>
      </c>
      <c r="T78" s="43">
        <v>4</v>
      </c>
      <c r="U78" s="43">
        <v>2</v>
      </c>
      <c r="V78" s="42">
        <f t="shared" si="100"/>
        <v>8</v>
      </c>
      <c r="W78" s="43">
        <v>2</v>
      </c>
      <c r="X78" s="43">
        <v>4</v>
      </c>
      <c r="Y78" s="43">
        <v>2</v>
      </c>
      <c r="Z78" s="42">
        <f t="shared" si="101"/>
        <v>8</v>
      </c>
      <c r="AA78" s="43">
        <v>2</v>
      </c>
      <c r="AB78" s="43">
        <v>4</v>
      </c>
      <c r="AC78" s="43">
        <v>2</v>
      </c>
      <c r="AD78" s="42">
        <f t="shared" si="102"/>
        <v>8</v>
      </c>
      <c r="AE78" s="43">
        <v>1</v>
      </c>
      <c r="AF78" s="43">
        <v>3</v>
      </c>
      <c r="AG78" s="43">
        <v>2</v>
      </c>
      <c r="AH78" s="42">
        <f t="shared" si="103"/>
        <v>6</v>
      </c>
      <c r="AI78" s="43">
        <v>2</v>
      </c>
      <c r="AJ78" s="43">
        <v>6</v>
      </c>
      <c r="AK78" s="43">
        <v>2</v>
      </c>
      <c r="AL78" s="42">
        <f t="shared" si="104"/>
        <v>10</v>
      </c>
      <c r="AM78" s="43">
        <v>1</v>
      </c>
      <c r="AN78" s="43">
        <v>4</v>
      </c>
      <c r="AO78" s="43">
        <v>2</v>
      </c>
      <c r="AP78" s="42">
        <f t="shared" si="105"/>
        <v>7</v>
      </c>
      <c r="AQ78" s="43">
        <v>1</v>
      </c>
      <c r="AR78" s="43">
        <v>4</v>
      </c>
      <c r="AS78" s="43">
        <v>2</v>
      </c>
      <c r="AT78" s="42">
        <f t="shared" si="106"/>
        <v>7</v>
      </c>
      <c r="AU78" s="43">
        <v>1</v>
      </c>
      <c r="AV78" s="43">
        <v>4</v>
      </c>
      <c r="AW78" s="43">
        <v>2</v>
      </c>
      <c r="AX78" s="42">
        <f t="shared" si="107"/>
        <v>7</v>
      </c>
      <c r="AY78" s="43">
        <v>1</v>
      </c>
      <c r="AZ78" s="43">
        <v>4</v>
      </c>
      <c r="BA78" s="43">
        <v>1</v>
      </c>
      <c r="BB78" s="42">
        <f t="shared" si="108"/>
        <v>6</v>
      </c>
      <c r="BC78" s="43">
        <v>1</v>
      </c>
      <c r="BD78" s="43">
        <v>4</v>
      </c>
      <c r="BE78" s="43">
        <v>2</v>
      </c>
      <c r="BF78" s="42">
        <f t="shared" si="109"/>
        <v>7</v>
      </c>
      <c r="BG78" s="43">
        <v>1</v>
      </c>
      <c r="BH78" s="43">
        <v>3</v>
      </c>
      <c r="BI78" s="43">
        <v>1</v>
      </c>
      <c r="BJ78" s="42">
        <f t="shared" si="110"/>
        <v>5</v>
      </c>
      <c r="BK78" s="42">
        <f t="shared" si="111"/>
        <v>108</v>
      </c>
      <c r="BL78" s="44"/>
      <c r="BM78" s="77"/>
      <c r="BN78" s="79">
        <f t="shared" si="112"/>
        <v>36</v>
      </c>
      <c r="BO78" s="135">
        <v>36</v>
      </c>
    </row>
    <row r="79" spans="1:67" ht="21" customHeight="1" thickBot="1">
      <c r="A79" s="129" t="s">
        <v>86</v>
      </c>
      <c r="B79" s="123" t="s">
        <v>242</v>
      </c>
      <c r="C79" s="42">
        <v>2</v>
      </c>
      <c r="D79" s="42">
        <v>5</v>
      </c>
      <c r="E79" s="42">
        <v>2</v>
      </c>
      <c r="F79" s="42">
        <f t="shared" si="96"/>
        <v>9</v>
      </c>
      <c r="G79" s="43">
        <v>2</v>
      </c>
      <c r="H79" s="43">
        <v>2</v>
      </c>
      <c r="I79" s="43">
        <v>2</v>
      </c>
      <c r="J79" s="42">
        <f t="shared" si="97"/>
        <v>6</v>
      </c>
      <c r="K79" s="43">
        <v>2</v>
      </c>
      <c r="L79" s="43">
        <v>2</v>
      </c>
      <c r="M79" s="43">
        <v>2</v>
      </c>
      <c r="N79" s="42">
        <f t="shared" si="98"/>
        <v>6</v>
      </c>
      <c r="O79" s="43">
        <v>2</v>
      </c>
      <c r="P79" s="43">
        <v>4</v>
      </c>
      <c r="Q79" s="43">
        <v>2</v>
      </c>
      <c r="R79" s="42">
        <f t="shared" si="99"/>
        <v>8</v>
      </c>
      <c r="S79" s="43">
        <v>2</v>
      </c>
      <c r="T79" s="43">
        <v>4</v>
      </c>
      <c r="U79" s="43">
        <v>2</v>
      </c>
      <c r="V79" s="42">
        <f t="shared" si="100"/>
        <v>8</v>
      </c>
      <c r="W79" s="43">
        <v>2</v>
      </c>
      <c r="X79" s="43">
        <v>4</v>
      </c>
      <c r="Y79" s="43">
        <v>2</v>
      </c>
      <c r="Z79" s="42">
        <f t="shared" si="101"/>
        <v>8</v>
      </c>
      <c r="AA79" s="43">
        <v>2</v>
      </c>
      <c r="AB79" s="43">
        <v>5</v>
      </c>
      <c r="AC79" s="43">
        <v>2</v>
      </c>
      <c r="AD79" s="42">
        <f t="shared" si="102"/>
        <v>9</v>
      </c>
      <c r="AE79" s="43">
        <v>2</v>
      </c>
      <c r="AF79" s="43">
        <v>6</v>
      </c>
      <c r="AG79" s="43">
        <v>2</v>
      </c>
      <c r="AH79" s="42">
        <f t="shared" si="103"/>
        <v>10</v>
      </c>
      <c r="AI79" s="43">
        <v>1</v>
      </c>
      <c r="AJ79" s="43">
        <v>4</v>
      </c>
      <c r="AK79" s="43">
        <v>1</v>
      </c>
      <c r="AL79" s="42">
        <f t="shared" si="104"/>
        <v>6</v>
      </c>
      <c r="AM79" s="43">
        <v>1</v>
      </c>
      <c r="AN79" s="43">
        <v>4</v>
      </c>
      <c r="AO79" s="43">
        <v>2</v>
      </c>
      <c r="AP79" s="42">
        <f t="shared" si="105"/>
        <v>7</v>
      </c>
      <c r="AQ79" s="43">
        <v>1</v>
      </c>
      <c r="AR79" s="43">
        <v>4</v>
      </c>
      <c r="AS79" s="43">
        <v>2</v>
      </c>
      <c r="AT79" s="42">
        <f t="shared" si="106"/>
        <v>7</v>
      </c>
      <c r="AU79" s="43">
        <v>1</v>
      </c>
      <c r="AV79" s="43">
        <v>4</v>
      </c>
      <c r="AW79" s="43">
        <v>2</v>
      </c>
      <c r="AX79" s="42">
        <f t="shared" si="107"/>
        <v>7</v>
      </c>
      <c r="AY79" s="43">
        <v>2</v>
      </c>
      <c r="AZ79" s="43">
        <v>4</v>
      </c>
      <c r="BA79" s="43">
        <v>2</v>
      </c>
      <c r="BB79" s="42">
        <f t="shared" si="108"/>
        <v>8</v>
      </c>
      <c r="BC79" s="43">
        <v>1</v>
      </c>
      <c r="BD79" s="43">
        <v>4</v>
      </c>
      <c r="BE79" s="43">
        <v>2</v>
      </c>
      <c r="BF79" s="42">
        <f t="shared" si="109"/>
        <v>7</v>
      </c>
      <c r="BG79" s="43">
        <v>2</v>
      </c>
      <c r="BH79" s="43">
        <v>4</v>
      </c>
      <c r="BI79" s="43">
        <v>2</v>
      </c>
      <c r="BJ79" s="42">
        <f t="shared" si="110"/>
        <v>8</v>
      </c>
      <c r="BK79" s="42">
        <f t="shared" si="111"/>
        <v>114</v>
      </c>
      <c r="BL79" s="44"/>
      <c r="BM79" s="77"/>
      <c r="BN79" s="79">
        <f t="shared" si="112"/>
        <v>38</v>
      </c>
      <c r="BO79" s="135">
        <v>38</v>
      </c>
    </row>
    <row r="80" spans="1:67" ht="21" customHeight="1" thickBot="1">
      <c r="A80" s="129" t="s">
        <v>87</v>
      </c>
      <c r="B80" s="123" t="s">
        <v>243</v>
      </c>
      <c r="C80" s="42">
        <v>2</v>
      </c>
      <c r="D80" s="42">
        <v>5</v>
      </c>
      <c r="E80" s="42">
        <v>2</v>
      </c>
      <c r="F80" s="42">
        <f t="shared" si="96"/>
        <v>9</v>
      </c>
      <c r="G80" s="43">
        <v>2</v>
      </c>
      <c r="H80" s="43">
        <v>2</v>
      </c>
      <c r="I80" s="43">
        <v>2</v>
      </c>
      <c r="J80" s="42">
        <f t="shared" si="97"/>
        <v>6</v>
      </c>
      <c r="K80" s="43">
        <v>2</v>
      </c>
      <c r="L80" s="43">
        <v>2</v>
      </c>
      <c r="M80" s="43">
        <v>2</v>
      </c>
      <c r="N80" s="42">
        <f t="shared" si="98"/>
        <v>6</v>
      </c>
      <c r="O80" s="43">
        <v>2</v>
      </c>
      <c r="P80" s="43">
        <v>4</v>
      </c>
      <c r="Q80" s="43">
        <v>2</v>
      </c>
      <c r="R80" s="42">
        <f t="shared" si="99"/>
        <v>8</v>
      </c>
      <c r="S80" s="43">
        <v>2</v>
      </c>
      <c r="T80" s="43">
        <v>4</v>
      </c>
      <c r="U80" s="43">
        <v>2</v>
      </c>
      <c r="V80" s="42">
        <f t="shared" si="100"/>
        <v>8</v>
      </c>
      <c r="W80" s="43">
        <v>2</v>
      </c>
      <c r="X80" s="43">
        <v>4</v>
      </c>
      <c r="Y80" s="43">
        <v>2</v>
      </c>
      <c r="Z80" s="42">
        <f t="shared" si="101"/>
        <v>8</v>
      </c>
      <c r="AA80" s="43">
        <v>2</v>
      </c>
      <c r="AB80" s="43">
        <v>5</v>
      </c>
      <c r="AC80" s="43">
        <v>2</v>
      </c>
      <c r="AD80" s="42">
        <f t="shared" si="102"/>
        <v>9</v>
      </c>
      <c r="AE80" s="43">
        <v>2</v>
      </c>
      <c r="AF80" s="43">
        <v>6</v>
      </c>
      <c r="AG80" s="43">
        <v>2</v>
      </c>
      <c r="AH80" s="42">
        <f t="shared" si="103"/>
        <v>10</v>
      </c>
      <c r="AI80" s="43">
        <v>2</v>
      </c>
      <c r="AJ80" s="43">
        <v>6</v>
      </c>
      <c r="AK80" s="43">
        <v>2</v>
      </c>
      <c r="AL80" s="42">
        <f t="shared" si="104"/>
        <v>10</v>
      </c>
      <c r="AM80" s="43">
        <v>1</v>
      </c>
      <c r="AN80" s="43">
        <v>4</v>
      </c>
      <c r="AO80" s="43">
        <v>2</v>
      </c>
      <c r="AP80" s="42">
        <f t="shared" si="105"/>
        <v>7</v>
      </c>
      <c r="AQ80" s="43">
        <v>1</v>
      </c>
      <c r="AR80" s="43">
        <v>4</v>
      </c>
      <c r="AS80" s="43">
        <v>2</v>
      </c>
      <c r="AT80" s="42">
        <f t="shared" si="106"/>
        <v>7</v>
      </c>
      <c r="AU80" s="43">
        <v>1</v>
      </c>
      <c r="AV80" s="43">
        <v>4</v>
      </c>
      <c r="AW80" s="43">
        <v>2</v>
      </c>
      <c r="AX80" s="42">
        <f t="shared" si="107"/>
        <v>7</v>
      </c>
      <c r="AY80" s="43">
        <v>1</v>
      </c>
      <c r="AZ80" s="43">
        <v>4</v>
      </c>
      <c r="BA80" s="43">
        <v>1</v>
      </c>
      <c r="BB80" s="42">
        <f t="shared" si="108"/>
        <v>6</v>
      </c>
      <c r="BC80" s="43">
        <v>1</v>
      </c>
      <c r="BD80" s="43">
        <v>5</v>
      </c>
      <c r="BE80" s="43">
        <v>2</v>
      </c>
      <c r="BF80" s="42">
        <f t="shared" si="109"/>
        <v>8</v>
      </c>
      <c r="BG80" s="43">
        <v>1</v>
      </c>
      <c r="BH80" s="43">
        <v>4</v>
      </c>
      <c r="BI80" s="43">
        <v>1</v>
      </c>
      <c r="BJ80" s="42">
        <f t="shared" si="110"/>
        <v>6</v>
      </c>
      <c r="BK80" s="42">
        <f t="shared" si="111"/>
        <v>115</v>
      </c>
      <c r="BL80" s="44"/>
      <c r="BM80" s="77"/>
      <c r="BN80" s="79">
        <f t="shared" si="112"/>
        <v>38.333333333333336</v>
      </c>
      <c r="BO80" s="135">
        <v>38</v>
      </c>
    </row>
    <row r="81" spans="1:67" ht="21" customHeight="1" thickBot="1">
      <c r="A81" s="129" t="s">
        <v>88</v>
      </c>
      <c r="B81" s="123" t="s">
        <v>244</v>
      </c>
      <c r="C81" s="42">
        <v>2</v>
      </c>
      <c r="D81" s="42">
        <v>5</v>
      </c>
      <c r="E81" s="42">
        <v>2</v>
      </c>
      <c r="F81" s="42">
        <f t="shared" ref="F81:F90" si="113">C81+D81+E81</f>
        <v>9</v>
      </c>
      <c r="G81" s="43">
        <v>2</v>
      </c>
      <c r="H81" s="43">
        <v>2</v>
      </c>
      <c r="I81" s="43">
        <v>2</v>
      </c>
      <c r="J81" s="42">
        <f t="shared" ref="J81:J90" si="114">G81+H81+I81</f>
        <v>6</v>
      </c>
      <c r="K81" s="43">
        <v>2</v>
      </c>
      <c r="L81" s="43">
        <v>2</v>
      </c>
      <c r="M81" s="43">
        <v>2</v>
      </c>
      <c r="N81" s="42">
        <f t="shared" ref="N81:N90" si="115">K81+L81+M81</f>
        <v>6</v>
      </c>
      <c r="O81" s="43">
        <v>2</v>
      </c>
      <c r="P81" s="43">
        <v>4</v>
      </c>
      <c r="Q81" s="43">
        <v>2</v>
      </c>
      <c r="R81" s="42">
        <f t="shared" ref="R81:R90" si="116">O81+P81+Q81</f>
        <v>8</v>
      </c>
      <c r="S81" s="43">
        <v>2</v>
      </c>
      <c r="T81" s="43">
        <v>4</v>
      </c>
      <c r="U81" s="43">
        <v>2</v>
      </c>
      <c r="V81" s="42">
        <f t="shared" ref="V81:V90" si="117">S81+T81+U81</f>
        <v>8</v>
      </c>
      <c r="W81" s="43">
        <v>2</v>
      </c>
      <c r="X81" s="43">
        <v>4</v>
      </c>
      <c r="Y81" s="43">
        <v>2</v>
      </c>
      <c r="Z81" s="42">
        <f t="shared" ref="Z81:Z90" si="118">W81+X81+Y81</f>
        <v>8</v>
      </c>
      <c r="AA81" s="43">
        <v>2</v>
      </c>
      <c r="AB81" s="43">
        <v>5</v>
      </c>
      <c r="AC81" s="43">
        <v>2</v>
      </c>
      <c r="AD81" s="42">
        <f t="shared" ref="AD81:AD90" si="119">AA81+AB81+AC81</f>
        <v>9</v>
      </c>
      <c r="AE81" s="43">
        <v>2</v>
      </c>
      <c r="AF81" s="43">
        <v>6</v>
      </c>
      <c r="AG81" s="43">
        <v>2</v>
      </c>
      <c r="AH81" s="42">
        <f t="shared" ref="AH81:AH90" si="120">AE81+AF81+AG81</f>
        <v>10</v>
      </c>
      <c r="AI81" s="43">
        <v>2</v>
      </c>
      <c r="AJ81" s="43">
        <v>6</v>
      </c>
      <c r="AK81" s="43">
        <v>2</v>
      </c>
      <c r="AL81" s="42">
        <f t="shared" ref="AL81:AL90" si="121">AI81+AJ81+AK81</f>
        <v>10</v>
      </c>
      <c r="AM81" s="43">
        <v>1</v>
      </c>
      <c r="AN81" s="43">
        <v>4</v>
      </c>
      <c r="AO81" s="43">
        <v>2</v>
      </c>
      <c r="AP81" s="42">
        <f t="shared" ref="AP81:AP90" si="122">AM81+AN81+AO81</f>
        <v>7</v>
      </c>
      <c r="AQ81" s="43">
        <v>1</v>
      </c>
      <c r="AR81" s="43">
        <v>4</v>
      </c>
      <c r="AS81" s="43">
        <v>2</v>
      </c>
      <c r="AT81" s="42">
        <f t="shared" ref="AT81:AT90" si="123">AQ81+AR81+AS81</f>
        <v>7</v>
      </c>
      <c r="AU81" s="43">
        <v>1</v>
      </c>
      <c r="AV81" s="43">
        <v>4</v>
      </c>
      <c r="AW81" s="43">
        <v>2</v>
      </c>
      <c r="AX81" s="42">
        <f t="shared" ref="AX81:AX90" si="124">AU81+AV81+AW81</f>
        <v>7</v>
      </c>
      <c r="AY81" s="43">
        <v>1</v>
      </c>
      <c r="AZ81" s="43">
        <v>2</v>
      </c>
      <c r="BA81" s="43">
        <v>1</v>
      </c>
      <c r="BB81" s="42">
        <f t="shared" ref="BB81:BB90" si="125">AY81+AZ81+BA81</f>
        <v>4</v>
      </c>
      <c r="BC81" s="43">
        <v>1</v>
      </c>
      <c r="BD81" s="43">
        <v>3</v>
      </c>
      <c r="BE81" s="43">
        <v>2</v>
      </c>
      <c r="BF81" s="42">
        <f t="shared" ref="BF81:BF90" si="126">BC81+BD81+BE81</f>
        <v>6</v>
      </c>
      <c r="BG81" s="43">
        <v>1</v>
      </c>
      <c r="BH81" s="43">
        <v>3</v>
      </c>
      <c r="BI81" s="43">
        <v>1</v>
      </c>
      <c r="BJ81" s="42">
        <f t="shared" ref="BJ81:BJ90" si="127">BG81+BH81+BI81</f>
        <v>5</v>
      </c>
      <c r="BK81" s="42">
        <f t="shared" ref="BK81:BK90" si="128">SUM(F81,J81,N81,R81,V81,Z81,AD81,AH81,AL81,AP81,AT81,AX81,BB81,BF81,BJ81)</f>
        <v>110</v>
      </c>
      <c r="BL81" s="44"/>
      <c r="BM81" s="77"/>
      <c r="BN81" s="79">
        <f t="shared" si="112"/>
        <v>36.666666666666664</v>
      </c>
      <c r="BO81" s="135">
        <v>37</v>
      </c>
    </row>
    <row r="82" spans="1:67" ht="21" customHeight="1" thickBot="1">
      <c r="A82" s="129" t="s">
        <v>245</v>
      </c>
      <c r="B82" s="123" t="s">
        <v>246</v>
      </c>
      <c r="C82" s="42">
        <v>2</v>
      </c>
      <c r="D82" s="42">
        <v>5</v>
      </c>
      <c r="E82" s="42">
        <v>2</v>
      </c>
      <c r="F82" s="42">
        <f t="shared" si="113"/>
        <v>9</v>
      </c>
      <c r="G82" s="43">
        <v>2</v>
      </c>
      <c r="H82" s="43">
        <v>2</v>
      </c>
      <c r="I82" s="43">
        <v>2</v>
      </c>
      <c r="J82" s="42">
        <f t="shared" si="114"/>
        <v>6</v>
      </c>
      <c r="K82" s="43">
        <v>2</v>
      </c>
      <c r="L82" s="43">
        <v>2</v>
      </c>
      <c r="M82" s="43">
        <v>2</v>
      </c>
      <c r="N82" s="42">
        <f t="shared" si="115"/>
        <v>6</v>
      </c>
      <c r="O82" s="43">
        <v>2</v>
      </c>
      <c r="P82" s="43">
        <v>4</v>
      </c>
      <c r="Q82" s="43">
        <v>2</v>
      </c>
      <c r="R82" s="42">
        <f t="shared" si="116"/>
        <v>8</v>
      </c>
      <c r="S82" s="43">
        <v>2</v>
      </c>
      <c r="T82" s="43">
        <v>4</v>
      </c>
      <c r="U82" s="43">
        <v>2</v>
      </c>
      <c r="V82" s="42">
        <f t="shared" si="117"/>
        <v>8</v>
      </c>
      <c r="W82" s="43">
        <v>2</v>
      </c>
      <c r="X82" s="43">
        <v>4</v>
      </c>
      <c r="Y82" s="43">
        <v>2</v>
      </c>
      <c r="Z82" s="42">
        <f t="shared" si="118"/>
        <v>8</v>
      </c>
      <c r="AA82" s="43">
        <v>2</v>
      </c>
      <c r="AB82" s="43">
        <v>5</v>
      </c>
      <c r="AC82" s="43">
        <v>2</v>
      </c>
      <c r="AD82" s="42">
        <f t="shared" si="119"/>
        <v>9</v>
      </c>
      <c r="AE82" s="43">
        <v>2</v>
      </c>
      <c r="AF82" s="43">
        <v>6</v>
      </c>
      <c r="AG82" s="43">
        <v>2</v>
      </c>
      <c r="AH82" s="42">
        <f t="shared" si="120"/>
        <v>10</v>
      </c>
      <c r="AI82" s="43">
        <v>2</v>
      </c>
      <c r="AJ82" s="43">
        <v>6</v>
      </c>
      <c r="AK82" s="43">
        <v>2</v>
      </c>
      <c r="AL82" s="42">
        <f t="shared" si="121"/>
        <v>10</v>
      </c>
      <c r="AM82" s="43">
        <v>1</v>
      </c>
      <c r="AN82" s="43">
        <v>6</v>
      </c>
      <c r="AO82" s="43">
        <v>2</v>
      </c>
      <c r="AP82" s="42">
        <f t="shared" si="122"/>
        <v>9</v>
      </c>
      <c r="AQ82" s="43">
        <v>2</v>
      </c>
      <c r="AR82" s="43">
        <v>6</v>
      </c>
      <c r="AS82" s="43">
        <v>2</v>
      </c>
      <c r="AT82" s="42">
        <f t="shared" si="123"/>
        <v>10</v>
      </c>
      <c r="AU82" s="43">
        <v>1</v>
      </c>
      <c r="AV82" s="43">
        <v>4</v>
      </c>
      <c r="AW82" s="43">
        <v>2</v>
      </c>
      <c r="AX82" s="42">
        <f t="shared" si="124"/>
        <v>7</v>
      </c>
      <c r="AY82" s="43">
        <v>2</v>
      </c>
      <c r="AZ82" s="43">
        <v>6</v>
      </c>
      <c r="BA82" s="43">
        <v>2</v>
      </c>
      <c r="BB82" s="42">
        <f t="shared" si="125"/>
        <v>10</v>
      </c>
      <c r="BC82" s="43">
        <v>1</v>
      </c>
      <c r="BD82" s="43">
        <v>5</v>
      </c>
      <c r="BE82" s="43">
        <v>2</v>
      </c>
      <c r="BF82" s="42">
        <f t="shared" si="126"/>
        <v>8</v>
      </c>
      <c r="BG82" s="43">
        <v>2</v>
      </c>
      <c r="BH82" s="43">
        <v>6</v>
      </c>
      <c r="BI82" s="43">
        <v>2</v>
      </c>
      <c r="BJ82" s="42">
        <f t="shared" si="127"/>
        <v>10</v>
      </c>
      <c r="BK82" s="42">
        <f t="shared" si="128"/>
        <v>128</v>
      </c>
      <c r="BL82" s="44"/>
      <c r="BM82" s="77"/>
      <c r="BN82" s="79">
        <f t="shared" si="112"/>
        <v>42.666666666666671</v>
      </c>
      <c r="BO82" s="135">
        <v>43</v>
      </c>
    </row>
    <row r="83" spans="1:67" ht="21" customHeight="1" thickBot="1">
      <c r="A83" s="129" t="s">
        <v>247</v>
      </c>
      <c r="B83" s="123" t="s">
        <v>248</v>
      </c>
      <c r="C83" s="42">
        <v>2</v>
      </c>
      <c r="D83" s="42">
        <v>5</v>
      </c>
      <c r="E83" s="42">
        <v>2</v>
      </c>
      <c r="F83" s="42">
        <f t="shared" si="113"/>
        <v>9</v>
      </c>
      <c r="G83" s="43">
        <v>2</v>
      </c>
      <c r="H83" s="43">
        <v>2</v>
      </c>
      <c r="I83" s="43">
        <v>2</v>
      </c>
      <c r="J83" s="42">
        <f t="shared" si="114"/>
        <v>6</v>
      </c>
      <c r="K83" s="43">
        <v>2</v>
      </c>
      <c r="L83" s="43">
        <v>2</v>
      </c>
      <c r="M83" s="43">
        <v>2</v>
      </c>
      <c r="N83" s="42">
        <f t="shared" si="115"/>
        <v>6</v>
      </c>
      <c r="O83" s="43">
        <v>2</v>
      </c>
      <c r="P83" s="43">
        <v>4</v>
      </c>
      <c r="Q83" s="43">
        <v>2</v>
      </c>
      <c r="R83" s="42">
        <f t="shared" si="116"/>
        <v>8</v>
      </c>
      <c r="S83" s="43">
        <v>2</v>
      </c>
      <c r="T83" s="43">
        <v>4</v>
      </c>
      <c r="U83" s="43">
        <v>2</v>
      </c>
      <c r="V83" s="42">
        <f t="shared" si="117"/>
        <v>8</v>
      </c>
      <c r="W83" s="43">
        <v>2</v>
      </c>
      <c r="X83" s="43">
        <v>4</v>
      </c>
      <c r="Y83" s="43">
        <v>2</v>
      </c>
      <c r="Z83" s="42">
        <f t="shared" si="118"/>
        <v>8</v>
      </c>
      <c r="AA83" s="43">
        <v>2</v>
      </c>
      <c r="AB83" s="43">
        <v>5</v>
      </c>
      <c r="AC83" s="43">
        <v>2</v>
      </c>
      <c r="AD83" s="42">
        <f t="shared" si="119"/>
        <v>9</v>
      </c>
      <c r="AE83" s="43">
        <v>2</v>
      </c>
      <c r="AF83" s="43">
        <v>6</v>
      </c>
      <c r="AG83" s="43">
        <v>2</v>
      </c>
      <c r="AH83" s="42">
        <f t="shared" si="120"/>
        <v>10</v>
      </c>
      <c r="AI83" s="43">
        <v>2</v>
      </c>
      <c r="AJ83" s="43">
        <v>4</v>
      </c>
      <c r="AK83" s="43">
        <v>2</v>
      </c>
      <c r="AL83" s="42">
        <f t="shared" si="121"/>
        <v>8</v>
      </c>
      <c r="AM83" s="43">
        <v>1</v>
      </c>
      <c r="AN83" s="43">
        <v>4</v>
      </c>
      <c r="AO83" s="43">
        <v>2</v>
      </c>
      <c r="AP83" s="42">
        <f t="shared" si="122"/>
        <v>7</v>
      </c>
      <c r="AQ83" s="43">
        <v>1</v>
      </c>
      <c r="AR83" s="43">
        <v>4</v>
      </c>
      <c r="AS83" s="43">
        <v>2</v>
      </c>
      <c r="AT83" s="42">
        <f t="shared" si="123"/>
        <v>7</v>
      </c>
      <c r="AU83" s="43">
        <v>1</v>
      </c>
      <c r="AV83" s="43">
        <v>4</v>
      </c>
      <c r="AW83" s="43">
        <v>2</v>
      </c>
      <c r="AX83" s="42">
        <f t="shared" si="124"/>
        <v>7</v>
      </c>
      <c r="AY83" s="43">
        <v>2</v>
      </c>
      <c r="AZ83" s="43">
        <v>6</v>
      </c>
      <c r="BA83" s="43">
        <v>2</v>
      </c>
      <c r="BB83" s="42">
        <f t="shared" si="125"/>
        <v>10</v>
      </c>
      <c r="BC83" s="43">
        <v>1</v>
      </c>
      <c r="BD83" s="43">
        <v>5</v>
      </c>
      <c r="BE83" s="43">
        <v>2</v>
      </c>
      <c r="BF83" s="42">
        <f t="shared" si="126"/>
        <v>8</v>
      </c>
      <c r="BG83" s="43">
        <v>2</v>
      </c>
      <c r="BH83" s="43">
        <v>5</v>
      </c>
      <c r="BI83" s="43">
        <v>2</v>
      </c>
      <c r="BJ83" s="42">
        <f t="shared" si="127"/>
        <v>9</v>
      </c>
      <c r="BK83" s="42">
        <f t="shared" si="128"/>
        <v>120</v>
      </c>
      <c r="BL83" s="44"/>
      <c r="BM83" s="77"/>
      <c r="BN83" s="79">
        <f t="shared" si="112"/>
        <v>40</v>
      </c>
      <c r="BO83" s="135">
        <v>40</v>
      </c>
    </row>
    <row r="84" spans="1:67" ht="21" customHeight="1" thickBot="1">
      <c r="A84" s="129" t="s">
        <v>249</v>
      </c>
      <c r="B84" s="123" t="s">
        <v>250</v>
      </c>
      <c r="C84" s="42">
        <v>2</v>
      </c>
      <c r="D84" s="42">
        <v>5</v>
      </c>
      <c r="E84" s="42">
        <v>2</v>
      </c>
      <c r="F84" s="42">
        <f t="shared" si="113"/>
        <v>9</v>
      </c>
      <c r="G84" s="43">
        <v>2</v>
      </c>
      <c r="H84" s="43">
        <v>2</v>
      </c>
      <c r="I84" s="43">
        <v>2</v>
      </c>
      <c r="J84" s="42">
        <f t="shared" si="114"/>
        <v>6</v>
      </c>
      <c r="K84" s="43">
        <v>2</v>
      </c>
      <c r="L84" s="43">
        <v>2</v>
      </c>
      <c r="M84" s="43">
        <v>2</v>
      </c>
      <c r="N84" s="42">
        <f t="shared" si="115"/>
        <v>6</v>
      </c>
      <c r="O84" s="43">
        <v>2</v>
      </c>
      <c r="P84" s="43">
        <v>4</v>
      </c>
      <c r="Q84" s="43">
        <v>2</v>
      </c>
      <c r="R84" s="42">
        <f t="shared" si="116"/>
        <v>8</v>
      </c>
      <c r="S84" s="43">
        <v>2</v>
      </c>
      <c r="T84" s="43">
        <v>4</v>
      </c>
      <c r="U84" s="43">
        <v>2</v>
      </c>
      <c r="V84" s="42">
        <f t="shared" si="117"/>
        <v>8</v>
      </c>
      <c r="W84" s="43">
        <v>2</v>
      </c>
      <c r="X84" s="43">
        <v>4</v>
      </c>
      <c r="Y84" s="43">
        <v>2</v>
      </c>
      <c r="Z84" s="42">
        <f t="shared" si="118"/>
        <v>8</v>
      </c>
      <c r="AA84" s="43">
        <v>2</v>
      </c>
      <c r="AB84" s="43">
        <v>5</v>
      </c>
      <c r="AC84" s="43">
        <v>2</v>
      </c>
      <c r="AD84" s="42">
        <f t="shared" si="119"/>
        <v>9</v>
      </c>
      <c r="AE84" s="43">
        <v>2</v>
      </c>
      <c r="AF84" s="43">
        <v>6</v>
      </c>
      <c r="AG84" s="43">
        <v>2</v>
      </c>
      <c r="AH84" s="42">
        <f t="shared" si="120"/>
        <v>10</v>
      </c>
      <c r="AI84" s="43">
        <v>2</v>
      </c>
      <c r="AJ84" s="43">
        <v>6</v>
      </c>
      <c r="AK84" s="43">
        <v>2</v>
      </c>
      <c r="AL84" s="42">
        <f t="shared" si="121"/>
        <v>10</v>
      </c>
      <c r="AM84" s="43">
        <v>1</v>
      </c>
      <c r="AN84" s="43">
        <v>4</v>
      </c>
      <c r="AO84" s="43">
        <v>2</v>
      </c>
      <c r="AP84" s="42">
        <f t="shared" si="122"/>
        <v>7</v>
      </c>
      <c r="AQ84" s="43">
        <v>1</v>
      </c>
      <c r="AR84" s="43">
        <v>4</v>
      </c>
      <c r="AS84" s="43">
        <v>2</v>
      </c>
      <c r="AT84" s="42">
        <f t="shared" si="123"/>
        <v>7</v>
      </c>
      <c r="AU84" s="43">
        <v>1</v>
      </c>
      <c r="AV84" s="43">
        <v>6</v>
      </c>
      <c r="AW84" s="43">
        <v>2</v>
      </c>
      <c r="AX84" s="42">
        <f t="shared" si="124"/>
        <v>9</v>
      </c>
      <c r="AY84" s="43">
        <v>2</v>
      </c>
      <c r="AZ84" s="43">
        <v>6</v>
      </c>
      <c r="BA84" s="43">
        <v>2</v>
      </c>
      <c r="BB84" s="42">
        <f t="shared" si="125"/>
        <v>10</v>
      </c>
      <c r="BC84" s="43">
        <v>1</v>
      </c>
      <c r="BD84" s="43">
        <v>5</v>
      </c>
      <c r="BE84" s="43">
        <v>2</v>
      </c>
      <c r="BF84" s="42">
        <f t="shared" si="126"/>
        <v>8</v>
      </c>
      <c r="BG84" s="43">
        <v>2</v>
      </c>
      <c r="BH84" s="43">
        <v>6</v>
      </c>
      <c r="BI84" s="43">
        <v>2</v>
      </c>
      <c r="BJ84" s="42">
        <f t="shared" si="127"/>
        <v>10</v>
      </c>
      <c r="BK84" s="42">
        <f t="shared" si="128"/>
        <v>125</v>
      </c>
      <c r="BL84" s="44"/>
      <c r="BM84" s="77"/>
      <c r="BN84" s="79">
        <f t="shared" si="112"/>
        <v>41.666666666666671</v>
      </c>
      <c r="BO84" s="135">
        <v>42</v>
      </c>
    </row>
    <row r="85" spans="1:67" ht="21" customHeight="1" thickBot="1">
      <c r="A85" s="129" t="s">
        <v>251</v>
      </c>
      <c r="B85" s="123" t="s">
        <v>252</v>
      </c>
      <c r="C85" s="42">
        <v>2</v>
      </c>
      <c r="D85" s="42">
        <v>5</v>
      </c>
      <c r="E85" s="42">
        <v>2</v>
      </c>
      <c r="F85" s="42">
        <f t="shared" si="113"/>
        <v>9</v>
      </c>
      <c r="G85" s="43">
        <v>2</v>
      </c>
      <c r="H85" s="43">
        <v>2</v>
      </c>
      <c r="I85" s="43">
        <v>2</v>
      </c>
      <c r="J85" s="42">
        <f t="shared" si="114"/>
        <v>6</v>
      </c>
      <c r="K85" s="43">
        <v>2</v>
      </c>
      <c r="L85" s="43">
        <v>2</v>
      </c>
      <c r="M85" s="43">
        <v>2</v>
      </c>
      <c r="N85" s="42">
        <f t="shared" si="115"/>
        <v>6</v>
      </c>
      <c r="O85" s="43">
        <v>2</v>
      </c>
      <c r="P85" s="43">
        <v>4</v>
      </c>
      <c r="Q85" s="43">
        <v>2</v>
      </c>
      <c r="R85" s="42">
        <f t="shared" si="116"/>
        <v>8</v>
      </c>
      <c r="S85" s="43">
        <v>2</v>
      </c>
      <c r="T85" s="43">
        <v>4</v>
      </c>
      <c r="U85" s="43">
        <v>2</v>
      </c>
      <c r="V85" s="42">
        <f t="shared" si="117"/>
        <v>8</v>
      </c>
      <c r="W85" s="43">
        <v>2</v>
      </c>
      <c r="X85" s="43">
        <v>4</v>
      </c>
      <c r="Y85" s="43">
        <v>2</v>
      </c>
      <c r="Z85" s="42">
        <f t="shared" si="118"/>
        <v>8</v>
      </c>
      <c r="AA85" s="43">
        <v>2</v>
      </c>
      <c r="AB85" s="43">
        <v>5</v>
      </c>
      <c r="AC85" s="43">
        <v>2</v>
      </c>
      <c r="AD85" s="42">
        <f t="shared" si="119"/>
        <v>9</v>
      </c>
      <c r="AE85" s="43">
        <v>2</v>
      </c>
      <c r="AF85" s="43">
        <v>6</v>
      </c>
      <c r="AG85" s="43">
        <v>2</v>
      </c>
      <c r="AH85" s="42">
        <f t="shared" si="120"/>
        <v>10</v>
      </c>
      <c r="AI85" s="43">
        <v>2</v>
      </c>
      <c r="AJ85" s="43">
        <v>6</v>
      </c>
      <c r="AK85" s="43">
        <v>2</v>
      </c>
      <c r="AL85" s="42">
        <f t="shared" si="121"/>
        <v>10</v>
      </c>
      <c r="AM85" s="43">
        <v>1</v>
      </c>
      <c r="AN85" s="43">
        <v>4</v>
      </c>
      <c r="AO85" s="43">
        <v>2</v>
      </c>
      <c r="AP85" s="42">
        <f t="shared" si="122"/>
        <v>7</v>
      </c>
      <c r="AQ85" s="43">
        <v>1</v>
      </c>
      <c r="AR85" s="43">
        <v>4</v>
      </c>
      <c r="AS85" s="43">
        <v>2</v>
      </c>
      <c r="AT85" s="42">
        <f t="shared" si="123"/>
        <v>7</v>
      </c>
      <c r="AU85" s="43">
        <v>1</v>
      </c>
      <c r="AV85" s="43">
        <v>4</v>
      </c>
      <c r="AW85" s="43">
        <v>2</v>
      </c>
      <c r="AX85" s="42">
        <f t="shared" si="124"/>
        <v>7</v>
      </c>
      <c r="AY85" s="43">
        <v>2</v>
      </c>
      <c r="AZ85" s="43">
        <v>6</v>
      </c>
      <c r="BA85" s="43">
        <v>2</v>
      </c>
      <c r="BB85" s="42">
        <f t="shared" si="125"/>
        <v>10</v>
      </c>
      <c r="BC85" s="43">
        <v>1</v>
      </c>
      <c r="BD85" s="43">
        <v>5</v>
      </c>
      <c r="BE85" s="43">
        <v>2</v>
      </c>
      <c r="BF85" s="42">
        <f t="shared" si="126"/>
        <v>8</v>
      </c>
      <c r="BG85" s="43">
        <v>2</v>
      </c>
      <c r="BH85" s="43">
        <v>5</v>
      </c>
      <c r="BI85" s="43">
        <v>2</v>
      </c>
      <c r="BJ85" s="42">
        <f t="shared" si="127"/>
        <v>9</v>
      </c>
      <c r="BK85" s="42">
        <f t="shared" si="128"/>
        <v>122</v>
      </c>
      <c r="BL85" s="44"/>
      <c r="BM85" s="77"/>
      <c r="BN85" s="79">
        <f t="shared" si="112"/>
        <v>40.666666666666664</v>
      </c>
      <c r="BO85" s="135">
        <v>41</v>
      </c>
    </row>
    <row r="86" spans="1:67" ht="21" customHeight="1" thickBot="1">
      <c r="A86" s="129" t="s">
        <v>253</v>
      </c>
      <c r="B86" s="123" t="s">
        <v>254</v>
      </c>
      <c r="C86" s="42">
        <v>2</v>
      </c>
      <c r="D86" s="42">
        <v>5</v>
      </c>
      <c r="E86" s="42">
        <v>2</v>
      </c>
      <c r="F86" s="42">
        <f t="shared" si="113"/>
        <v>9</v>
      </c>
      <c r="G86" s="43">
        <v>2</v>
      </c>
      <c r="H86" s="43">
        <v>2</v>
      </c>
      <c r="I86" s="43">
        <v>2</v>
      </c>
      <c r="J86" s="42">
        <f t="shared" si="114"/>
        <v>6</v>
      </c>
      <c r="K86" s="43">
        <v>2</v>
      </c>
      <c r="L86" s="43">
        <v>2</v>
      </c>
      <c r="M86" s="43">
        <v>2</v>
      </c>
      <c r="N86" s="42">
        <f t="shared" si="115"/>
        <v>6</v>
      </c>
      <c r="O86" s="43">
        <v>2</v>
      </c>
      <c r="P86" s="43">
        <v>4</v>
      </c>
      <c r="Q86" s="43">
        <v>2</v>
      </c>
      <c r="R86" s="42">
        <f t="shared" si="116"/>
        <v>8</v>
      </c>
      <c r="S86" s="43">
        <v>2</v>
      </c>
      <c r="T86" s="43">
        <v>4</v>
      </c>
      <c r="U86" s="43">
        <v>2</v>
      </c>
      <c r="V86" s="42">
        <f t="shared" si="117"/>
        <v>8</v>
      </c>
      <c r="W86" s="43">
        <v>2</v>
      </c>
      <c r="X86" s="43">
        <v>4</v>
      </c>
      <c r="Y86" s="43">
        <v>2</v>
      </c>
      <c r="Z86" s="42">
        <f t="shared" si="118"/>
        <v>8</v>
      </c>
      <c r="AA86" s="43">
        <v>2</v>
      </c>
      <c r="AB86" s="43">
        <v>5</v>
      </c>
      <c r="AC86" s="43">
        <v>2</v>
      </c>
      <c r="AD86" s="42">
        <f t="shared" si="119"/>
        <v>9</v>
      </c>
      <c r="AE86" s="43">
        <v>1</v>
      </c>
      <c r="AF86" s="43">
        <v>4</v>
      </c>
      <c r="AG86" s="43">
        <v>1</v>
      </c>
      <c r="AH86" s="42">
        <f t="shared" si="120"/>
        <v>6</v>
      </c>
      <c r="AI86" s="43">
        <v>1</v>
      </c>
      <c r="AJ86" s="43">
        <v>4</v>
      </c>
      <c r="AK86" s="43">
        <v>1</v>
      </c>
      <c r="AL86" s="42">
        <f t="shared" si="121"/>
        <v>6</v>
      </c>
      <c r="AM86" s="43">
        <v>1</v>
      </c>
      <c r="AN86" s="43">
        <v>4</v>
      </c>
      <c r="AO86" s="43">
        <v>2</v>
      </c>
      <c r="AP86" s="42">
        <f t="shared" si="122"/>
        <v>7</v>
      </c>
      <c r="AQ86" s="43">
        <v>1</v>
      </c>
      <c r="AR86" s="43">
        <v>4</v>
      </c>
      <c r="AS86" s="43">
        <v>2</v>
      </c>
      <c r="AT86" s="42">
        <f t="shared" si="123"/>
        <v>7</v>
      </c>
      <c r="AU86" s="43">
        <v>1</v>
      </c>
      <c r="AV86" s="43">
        <v>4</v>
      </c>
      <c r="AW86" s="43">
        <v>2</v>
      </c>
      <c r="AX86" s="42">
        <f t="shared" si="124"/>
        <v>7</v>
      </c>
      <c r="AY86" s="43">
        <v>2</v>
      </c>
      <c r="AZ86" s="43">
        <v>6</v>
      </c>
      <c r="BA86" s="43">
        <v>2</v>
      </c>
      <c r="BB86" s="42">
        <f t="shared" si="125"/>
        <v>10</v>
      </c>
      <c r="BC86" s="43">
        <v>1</v>
      </c>
      <c r="BD86" s="43">
        <v>5</v>
      </c>
      <c r="BE86" s="43">
        <v>2</v>
      </c>
      <c r="BF86" s="42">
        <f t="shared" si="126"/>
        <v>8</v>
      </c>
      <c r="BG86" s="43">
        <v>1</v>
      </c>
      <c r="BH86" s="43">
        <v>4</v>
      </c>
      <c r="BI86" s="43">
        <v>1</v>
      </c>
      <c r="BJ86" s="42">
        <f t="shared" si="127"/>
        <v>6</v>
      </c>
      <c r="BK86" s="42">
        <f t="shared" si="128"/>
        <v>111</v>
      </c>
      <c r="BL86" s="44"/>
      <c r="BM86" s="77"/>
      <c r="BN86" s="79">
        <f t="shared" si="112"/>
        <v>37</v>
      </c>
      <c r="BO86" s="135">
        <v>37</v>
      </c>
    </row>
    <row r="87" spans="1:67" ht="21" customHeight="1" thickBot="1">
      <c r="A87" s="129" t="s">
        <v>255</v>
      </c>
      <c r="B87" s="123" t="s">
        <v>256</v>
      </c>
      <c r="C87" s="42">
        <v>2</v>
      </c>
      <c r="D87" s="42">
        <v>5</v>
      </c>
      <c r="E87" s="42">
        <v>2</v>
      </c>
      <c r="F87" s="42">
        <f t="shared" si="113"/>
        <v>9</v>
      </c>
      <c r="G87" s="43">
        <v>2</v>
      </c>
      <c r="H87" s="43">
        <v>2</v>
      </c>
      <c r="I87" s="43">
        <v>2</v>
      </c>
      <c r="J87" s="42">
        <f t="shared" si="114"/>
        <v>6</v>
      </c>
      <c r="K87" s="43">
        <v>2</v>
      </c>
      <c r="L87" s="43">
        <v>2</v>
      </c>
      <c r="M87" s="43">
        <v>2</v>
      </c>
      <c r="N87" s="42">
        <f t="shared" si="115"/>
        <v>6</v>
      </c>
      <c r="O87" s="43">
        <v>2</v>
      </c>
      <c r="P87" s="43">
        <v>4</v>
      </c>
      <c r="Q87" s="43">
        <v>2</v>
      </c>
      <c r="R87" s="42">
        <f t="shared" si="116"/>
        <v>8</v>
      </c>
      <c r="S87" s="43">
        <v>2</v>
      </c>
      <c r="T87" s="43">
        <v>4</v>
      </c>
      <c r="U87" s="43">
        <v>2</v>
      </c>
      <c r="V87" s="42">
        <f t="shared" si="117"/>
        <v>8</v>
      </c>
      <c r="W87" s="43">
        <v>2</v>
      </c>
      <c r="X87" s="43">
        <v>4</v>
      </c>
      <c r="Y87" s="43">
        <v>2</v>
      </c>
      <c r="Z87" s="42">
        <f t="shared" si="118"/>
        <v>8</v>
      </c>
      <c r="AA87" s="43">
        <v>2</v>
      </c>
      <c r="AB87" s="43">
        <v>5</v>
      </c>
      <c r="AC87" s="43">
        <v>2</v>
      </c>
      <c r="AD87" s="42">
        <f t="shared" si="119"/>
        <v>9</v>
      </c>
      <c r="AE87" s="43">
        <v>2</v>
      </c>
      <c r="AF87" s="43">
        <v>6</v>
      </c>
      <c r="AG87" s="43">
        <v>2</v>
      </c>
      <c r="AH87" s="42">
        <f t="shared" si="120"/>
        <v>10</v>
      </c>
      <c r="AI87" s="43">
        <v>2</v>
      </c>
      <c r="AJ87" s="43">
        <v>6</v>
      </c>
      <c r="AK87" s="43">
        <v>2</v>
      </c>
      <c r="AL87" s="42">
        <f t="shared" si="121"/>
        <v>10</v>
      </c>
      <c r="AM87" s="43">
        <v>1</v>
      </c>
      <c r="AN87" s="43">
        <v>4</v>
      </c>
      <c r="AO87" s="43">
        <v>2</v>
      </c>
      <c r="AP87" s="42">
        <f t="shared" si="122"/>
        <v>7</v>
      </c>
      <c r="AQ87" s="43">
        <v>1</v>
      </c>
      <c r="AR87" s="43">
        <v>4</v>
      </c>
      <c r="AS87" s="43">
        <v>2</v>
      </c>
      <c r="AT87" s="42">
        <f t="shared" si="123"/>
        <v>7</v>
      </c>
      <c r="AU87" s="43">
        <v>1</v>
      </c>
      <c r="AV87" s="43">
        <v>4</v>
      </c>
      <c r="AW87" s="43">
        <v>2</v>
      </c>
      <c r="AX87" s="42">
        <f t="shared" si="124"/>
        <v>7</v>
      </c>
      <c r="AY87" s="43">
        <v>2</v>
      </c>
      <c r="AZ87" s="43">
        <v>6</v>
      </c>
      <c r="BA87" s="43">
        <v>2</v>
      </c>
      <c r="BB87" s="42">
        <f t="shared" si="125"/>
        <v>10</v>
      </c>
      <c r="BC87" s="43">
        <v>1</v>
      </c>
      <c r="BD87" s="43">
        <v>5</v>
      </c>
      <c r="BE87" s="43">
        <v>2</v>
      </c>
      <c r="BF87" s="42">
        <f t="shared" si="126"/>
        <v>8</v>
      </c>
      <c r="BG87" s="43">
        <v>2</v>
      </c>
      <c r="BH87" s="43">
        <v>5</v>
      </c>
      <c r="BI87" s="43">
        <v>2</v>
      </c>
      <c r="BJ87" s="42">
        <f t="shared" si="127"/>
        <v>9</v>
      </c>
      <c r="BK87" s="42">
        <f t="shared" si="128"/>
        <v>122</v>
      </c>
      <c r="BL87" s="44"/>
      <c r="BM87" s="77"/>
      <c r="BN87" s="79">
        <f t="shared" si="112"/>
        <v>40.666666666666664</v>
      </c>
      <c r="BO87" s="135">
        <v>41</v>
      </c>
    </row>
    <row r="88" spans="1:67" ht="21" customHeight="1" thickBot="1">
      <c r="A88" s="129" t="s">
        <v>257</v>
      </c>
      <c r="B88" s="123" t="s">
        <v>258</v>
      </c>
      <c r="C88" s="42">
        <v>2</v>
      </c>
      <c r="D88" s="42">
        <v>5</v>
      </c>
      <c r="E88" s="42">
        <v>2</v>
      </c>
      <c r="F88" s="42">
        <f t="shared" si="113"/>
        <v>9</v>
      </c>
      <c r="G88" s="43">
        <v>2</v>
      </c>
      <c r="H88" s="43">
        <v>2</v>
      </c>
      <c r="I88" s="43">
        <v>2</v>
      </c>
      <c r="J88" s="42">
        <f t="shared" si="114"/>
        <v>6</v>
      </c>
      <c r="K88" s="43">
        <v>2</v>
      </c>
      <c r="L88" s="43">
        <v>2</v>
      </c>
      <c r="M88" s="43">
        <v>2</v>
      </c>
      <c r="N88" s="42">
        <f t="shared" si="115"/>
        <v>6</v>
      </c>
      <c r="O88" s="43">
        <v>2</v>
      </c>
      <c r="P88" s="43">
        <v>4</v>
      </c>
      <c r="Q88" s="43">
        <v>2</v>
      </c>
      <c r="R88" s="42">
        <f t="shared" si="116"/>
        <v>8</v>
      </c>
      <c r="S88" s="43">
        <v>2</v>
      </c>
      <c r="T88" s="43">
        <v>4</v>
      </c>
      <c r="U88" s="43">
        <v>2</v>
      </c>
      <c r="V88" s="42">
        <f t="shared" si="117"/>
        <v>8</v>
      </c>
      <c r="W88" s="43">
        <v>2</v>
      </c>
      <c r="X88" s="43">
        <v>4</v>
      </c>
      <c r="Y88" s="43">
        <v>2</v>
      </c>
      <c r="Z88" s="42">
        <f t="shared" si="118"/>
        <v>8</v>
      </c>
      <c r="AA88" s="43">
        <v>2</v>
      </c>
      <c r="AB88" s="43">
        <v>5</v>
      </c>
      <c r="AC88" s="43">
        <v>2</v>
      </c>
      <c r="AD88" s="42">
        <f t="shared" si="119"/>
        <v>9</v>
      </c>
      <c r="AE88" s="43">
        <v>2</v>
      </c>
      <c r="AF88" s="43">
        <v>6</v>
      </c>
      <c r="AG88" s="43">
        <v>2</v>
      </c>
      <c r="AH88" s="42">
        <f t="shared" si="120"/>
        <v>10</v>
      </c>
      <c r="AI88" s="43">
        <v>2</v>
      </c>
      <c r="AJ88" s="43">
        <v>6</v>
      </c>
      <c r="AK88" s="43">
        <v>2</v>
      </c>
      <c r="AL88" s="42">
        <f t="shared" si="121"/>
        <v>10</v>
      </c>
      <c r="AM88" s="43">
        <v>1</v>
      </c>
      <c r="AN88" s="43">
        <v>4</v>
      </c>
      <c r="AO88" s="43">
        <v>2</v>
      </c>
      <c r="AP88" s="42">
        <f t="shared" si="122"/>
        <v>7</v>
      </c>
      <c r="AQ88" s="43">
        <v>1</v>
      </c>
      <c r="AR88" s="43">
        <v>4</v>
      </c>
      <c r="AS88" s="43">
        <v>2</v>
      </c>
      <c r="AT88" s="42">
        <f t="shared" si="123"/>
        <v>7</v>
      </c>
      <c r="AU88" s="43">
        <v>1</v>
      </c>
      <c r="AV88" s="43">
        <v>4</v>
      </c>
      <c r="AW88" s="43">
        <v>2</v>
      </c>
      <c r="AX88" s="42">
        <f t="shared" si="124"/>
        <v>7</v>
      </c>
      <c r="AY88" s="43">
        <v>2</v>
      </c>
      <c r="AZ88" s="43">
        <v>6</v>
      </c>
      <c r="BA88" s="43">
        <v>2</v>
      </c>
      <c r="BB88" s="42">
        <f t="shared" si="125"/>
        <v>10</v>
      </c>
      <c r="BC88" s="43">
        <v>2</v>
      </c>
      <c r="BD88" s="43">
        <v>6</v>
      </c>
      <c r="BE88" s="43">
        <v>2</v>
      </c>
      <c r="BF88" s="42">
        <f t="shared" si="126"/>
        <v>10</v>
      </c>
      <c r="BG88" s="43">
        <v>2</v>
      </c>
      <c r="BH88" s="43">
        <v>6</v>
      </c>
      <c r="BI88" s="43">
        <v>2</v>
      </c>
      <c r="BJ88" s="42">
        <f t="shared" si="127"/>
        <v>10</v>
      </c>
      <c r="BK88" s="42">
        <f t="shared" si="128"/>
        <v>125</v>
      </c>
      <c r="BL88" s="44"/>
      <c r="BM88" s="77"/>
      <c r="BN88" s="79">
        <f t="shared" si="112"/>
        <v>41.666666666666671</v>
      </c>
      <c r="BO88" s="135">
        <v>42</v>
      </c>
    </row>
    <row r="89" spans="1:67" ht="21" customHeight="1" thickBot="1">
      <c r="A89" s="129" t="s">
        <v>259</v>
      </c>
      <c r="B89" s="123" t="s">
        <v>260</v>
      </c>
      <c r="C89" s="42">
        <v>2</v>
      </c>
      <c r="D89" s="42">
        <v>5</v>
      </c>
      <c r="E89" s="42">
        <v>2</v>
      </c>
      <c r="F89" s="42">
        <f t="shared" si="113"/>
        <v>9</v>
      </c>
      <c r="G89" s="43">
        <v>2</v>
      </c>
      <c r="H89" s="43">
        <v>2</v>
      </c>
      <c r="I89" s="43">
        <v>2</v>
      </c>
      <c r="J89" s="42">
        <f t="shared" si="114"/>
        <v>6</v>
      </c>
      <c r="K89" s="43">
        <v>2</v>
      </c>
      <c r="L89" s="43">
        <v>2</v>
      </c>
      <c r="M89" s="43">
        <v>2</v>
      </c>
      <c r="N89" s="42">
        <f t="shared" si="115"/>
        <v>6</v>
      </c>
      <c r="O89" s="43">
        <v>2</v>
      </c>
      <c r="P89" s="43">
        <v>4</v>
      </c>
      <c r="Q89" s="43">
        <v>2</v>
      </c>
      <c r="R89" s="42">
        <f t="shared" si="116"/>
        <v>8</v>
      </c>
      <c r="S89" s="43">
        <v>1</v>
      </c>
      <c r="T89" s="43">
        <v>3</v>
      </c>
      <c r="U89" s="43">
        <v>2</v>
      </c>
      <c r="V89" s="42">
        <f t="shared" si="117"/>
        <v>6</v>
      </c>
      <c r="W89" s="43">
        <v>2</v>
      </c>
      <c r="X89" s="43">
        <v>4</v>
      </c>
      <c r="Y89" s="43">
        <v>2</v>
      </c>
      <c r="Z89" s="42">
        <f t="shared" si="118"/>
        <v>8</v>
      </c>
      <c r="AA89" s="43">
        <v>2</v>
      </c>
      <c r="AB89" s="43">
        <v>5</v>
      </c>
      <c r="AC89" s="43">
        <v>2</v>
      </c>
      <c r="AD89" s="42">
        <f t="shared" si="119"/>
        <v>9</v>
      </c>
      <c r="AE89" s="43">
        <v>2</v>
      </c>
      <c r="AF89" s="43">
        <v>3</v>
      </c>
      <c r="AG89" s="43">
        <v>2</v>
      </c>
      <c r="AH89" s="42">
        <f t="shared" si="120"/>
        <v>7</v>
      </c>
      <c r="AI89" s="43">
        <v>2</v>
      </c>
      <c r="AJ89" s="43">
        <v>6</v>
      </c>
      <c r="AK89" s="43">
        <v>2</v>
      </c>
      <c r="AL89" s="42">
        <f t="shared" si="121"/>
        <v>10</v>
      </c>
      <c r="AM89" s="43">
        <v>1</v>
      </c>
      <c r="AN89" s="43">
        <v>4</v>
      </c>
      <c r="AO89" s="43">
        <v>2</v>
      </c>
      <c r="AP89" s="42">
        <f t="shared" si="122"/>
        <v>7</v>
      </c>
      <c r="AQ89" s="43">
        <v>1</v>
      </c>
      <c r="AR89" s="43">
        <v>3</v>
      </c>
      <c r="AS89" s="43">
        <v>2</v>
      </c>
      <c r="AT89" s="42">
        <f t="shared" si="123"/>
        <v>6</v>
      </c>
      <c r="AU89" s="43">
        <v>1</v>
      </c>
      <c r="AV89" s="43">
        <v>3</v>
      </c>
      <c r="AW89" s="43">
        <v>1</v>
      </c>
      <c r="AX89" s="42">
        <f t="shared" si="124"/>
        <v>5</v>
      </c>
      <c r="AY89" s="43">
        <v>2</v>
      </c>
      <c r="AZ89" s="43">
        <v>6</v>
      </c>
      <c r="BA89" s="43">
        <v>2</v>
      </c>
      <c r="BB89" s="42">
        <f t="shared" si="125"/>
        <v>10</v>
      </c>
      <c r="BC89" s="43">
        <v>1</v>
      </c>
      <c r="BD89" s="43">
        <v>5</v>
      </c>
      <c r="BE89" s="43">
        <v>2</v>
      </c>
      <c r="BF89" s="42">
        <f t="shared" si="126"/>
        <v>8</v>
      </c>
      <c r="BG89" s="43">
        <v>1</v>
      </c>
      <c r="BH89" s="43">
        <v>4</v>
      </c>
      <c r="BI89" s="43">
        <v>1</v>
      </c>
      <c r="BJ89" s="42">
        <f t="shared" si="127"/>
        <v>6</v>
      </c>
      <c r="BK89" s="42">
        <f t="shared" si="128"/>
        <v>111</v>
      </c>
      <c r="BL89" s="44"/>
      <c r="BM89" s="77"/>
      <c r="BN89" s="79">
        <f t="shared" si="112"/>
        <v>37</v>
      </c>
      <c r="BO89" s="135">
        <v>37</v>
      </c>
    </row>
    <row r="90" spans="1:67" ht="21" customHeight="1" thickBot="1">
      <c r="A90" s="129" t="s">
        <v>261</v>
      </c>
      <c r="B90" s="123" t="s">
        <v>262</v>
      </c>
      <c r="C90" s="42">
        <v>2</v>
      </c>
      <c r="D90" s="42">
        <v>5</v>
      </c>
      <c r="E90" s="42">
        <v>2</v>
      </c>
      <c r="F90" s="42">
        <f t="shared" si="113"/>
        <v>9</v>
      </c>
      <c r="G90" s="43">
        <v>2</v>
      </c>
      <c r="H90" s="43">
        <v>2</v>
      </c>
      <c r="I90" s="43">
        <v>2</v>
      </c>
      <c r="J90" s="42">
        <f t="shared" si="114"/>
        <v>6</v>
      </c>
      <c r="K90" s="43">
        <v>2</v>
      </c>
      <c r="L90" s="43">
        <v>2</v>
      </c>
      <c r="M90" s="43">
        <v>2</v>
      </c>
      <c r="N90" s="42">
        <f t="shared" si="115"/>
        <v>6</v>
      </c>
      <c r="O90" s="43">
        <v>2</v>
      </c>
      <c r="P90" s="43">
        <v>4</v>
      </c>
      <c r="Q90" s="43">
        <v>2</v>
      </c>
      <c r="R90" s="42">
        <f t="shared" si="116"/>
        <v>8</v>
      </c>
      <c r="S90" s="43">
        <v>1</v>
      </c>
      <c r="T90" s="43">
        <v>3</v>
      </c>
      <c r="U90" s="43">
        <v>2</v>
      </c>
      <c r="V90" s="42">
        <f t="shared" si="117"/>
        <v>6</v>
      </c>
      <c r="W90" s="43">
        <v>2</v>
      </c>
      <c r="X90" s="43">
        <v>4</v>
      </c>
      <c r="Y90" s="43">
        <v>2</v>
      </c>
      <c r="Z90" s="42">
        <f t="shared" si="118"/>
        <v>8</v>
      </c>
      <c r="AA90" s="43">
        <v>2</v>
      </c>
      <c r="AB90" s="43">
        <v>5</v>
      </c>
      <c r="AC90" s="43">
        <v>2</v>
      </c>
      <c r="AD90" s="42">
        <f t="shared" si="119"/>
        <v>9</v>
      </c>
      <c r="AE90" s="43">
        <v>2</v>
      </c>
      <c r="AF90" s="43">
        <v>6</v>
      </c>
      <c r="AG90" s="43">
        <v>2</v>
      </c>
      <c r="AH90" s="42">
        <f t="shared" si="120"/>
        <v>10</v>
      </c>
      <c r="AI90" s="43">
        <v>2</v>
      </c>
      <c r="AJ90" s="43">
        <v>6</v>
      </c>
      <c r="AK90" s="43">
        <v>2</v>
      </c>
      <c r="AL90" s="42">
        <f t="shared" si="121"/>
        <v>10</v>
      </c>
      <c r="AM90" s="43">
        <v>1</v>
      </c>
      <c r="AN90" s="43">
        <v>4</v>
      </c>
      <c r="AO90" s="43">
        <v>2</v>
      </c>
      <c r="AP90" s="42">
        <f t="shared" si="122"/>
        <v>7</v>
      </c>
      <c r="AQ90" s="43">
        <v>1</v>
      </c>
      <c r="AR90" s="43">
        <v>4</v>
      </c>
      <c r="AS90" s="43">
        <v>2</v>
      </c>
      <c r="AT90" s="42">
        <f t="shared" si="123"/>
        <v>7</v>
      </c>
      <c r="AU90" s="43">
        <v>1</v>
      </c>
      <c r="AV90" s="43">
        <v>4</v>
      </c>
      <c r="AW90" s="43">
        <v>2</v>
      </c>
      <c r="AX90" s="42">
        <f t="shared" si="124"/>
        <v>7</v>
      </c>
      <c r="AY90" s="43">
        <v>2</v>
      </c>
      <c r="AZ90" s="43">
        <v>6</v>
      </c>
      <c r="BA90" s="43">
        <v>2</v>
      </c>
      <c r="BB90" s="42">
        <f t="shared" si="125"/>
        <v>10</v>
      </c>
      <c r="BC90" s="43">
        <v>1</v>
      </c>
      <c r="BD90" s="43">
        <v>5</v>
      </c>
      <c r="BE90" s="43">
        <v>2</v>
      </c>
      <c r="BF90" s="42">
        <f t="shared" si="126"/>
        <v>8</v>
      </c>
      <c r="BG90" s="43">
        <v>2</v>
      </c>
      <c r="BH90" s="43">
        <v>5</v>
      </c>
      <c r="BI90" s="43">
        <v>2</v>
      </c>
      <c r="BJ90" s="42">
        <f t="shared" si="127"/>
        <v>9</v>
      </c>
      <c r="BK90" s="42">
        <f t="shared" si="128"/>
        <v>120</v>
      </c>
      <c r="BL90" s="44"/>
      <c r="BM90" s="77"/>
      <c r="BN90" s="79">
        <f t="shared" si="112"/>
        <v>40</v>
      </c>
      <c r="BO90" s="135">
        <v>40</v>
      </c>
    </row>
    <row r="91" spans="1:67" ht="21" customHeight="1">
      <c r="A91" s="26"/>
      <c r="B91" s="27"/>
      <c r="C91" s="1"/>
      <c r="D91" s="28"/>
      <c r="E91" s="28"/>
      <c r="F91" s="28"/>
      <c r="G91" s="1"/>
      <c r="H91" s="1"/>
      <c r="I91" s="28"/>
      <c r="J91" s="1"/>
      <c r="K91" s="28"/>
      <c r="L91" s="1"/>
      <c r="M91" s="1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9"/>
      <c r="BN91" s="29"/>
    </row>
    <row r="92" spans="1:67" ht="21" customHeight="1">
      <c r="A92" s="26"/>
      <c r="B92" s="27"/>
      <c r="C92" s="1"/>
      <c r="D92" s="28"/>
      <c r="E92" s="28"/>
      <c r="F92" s="28"/>
      <c r="G92" s="1"/>
      <c r="H92" s="1"/>
      <c r="I92" s="28"/>
      <c r="J92" s="1"/>
      <c r="K92" s="28"/>
      <c r="L92" s="1"/>
      <c r="M92" s="1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9"/>
      <c r="BN92" s="29"/>
    </row>
    <row r="93" spans="1:67" ht="21" customHeight="1">
      <c r="A93" s="26"/>
      <c r="B93" s="27"/>
      <c r="C93" s="1"/>
      <c r="D93" s="28"/>
      <c r="E93" s="28"/>
      <c r="F93" s="28"/>
      <c r="G93" s="1"/>
      <c r="H93" s="1"/>
      <c r="I93" s="28"/>
      <c r="J93" s="1"/>
      <c r="K93" s="28"/>
      <c r="L93" s="1"/>
      <c r="M93" s="1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9"/>
      <c r="BN93" s="29"/>
    </row>
    <row r="94" spans="1:67" ht="21" customHeight="1">
      <c r="A94" s="26"/>
      <c r="B94" s="27"/>
      <c r="C94" s="1"/>
      <c r="D94" s="28"/>
      <c r="E94" s="28"/>
      <c r="F94" s="28"/>
      <c r="G94" s="1"/>
      <c r="H94" s="1"/>
      <c r="I94" s="28"/>
      <c r="J94" s="1"/>
      <c r="K94" s="28"/>
      <c r="L94" s="1"/>
      <c r="M94" s="1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9"/>
      <c r="BN94" s="29"/>
    </row>
    <row r="95" spans="1:67" ht="21" customHeight="1">
      <c r="A95" s="26"/>
      <c r="B95" s="27"/>
      <c r="C95" s="1"/>
      <c r="D95" s="28"/>
      <c r="E95" s="28"/>
      <c r="F95" s="28"/>
      <c r="G95" s="1"/>
      <c r="H95" s="1"/>
      <c r="I95" s="28"/>
      <c r="J95" s="1"/>
      <c r="K95" s="28"/>
      <c r="L95" s="1"/>
      <c r="M95" s="1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9"/>
      <c r="BN95" s="29"/>
    </row>
    <row r="96" spans="1:67" ht="21" customHeight="1">
      <c r="A96" s="26"/>
      <c r="B96" s="27"/>
      <c r="C96" s="1"/>
      <c r="D96" s="28"/>
      <c r="E96" s="28"/>
      <c r="F96" s="28"/>
      <c r="G96" s="1"/>
      <c r="H96" s="1"/>
      <c r="I96" s="28"/>
      <c r="J96" s="1"/>
      <c r="K96" s="28"/>
      <c r="L96" s="1"/>
      <c r="M96" s="1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9"/>
      <c r="BN96" s="29"/>
    </row>
    <row r="97" spans="1:66" ht="21" customHeight="1">
      <c r="A97" s="26"/>
      <c r="B97" s="27"/>
      <c r="C97" s="1"/>
      <c r="D97" s="28"/>
      <c r="E97" s="28"/>
      <c r="F97" s="28"/>
      <c r="G97" s="1"/>
      <c r="H97" s="1"/>
      <c r="I97" s="28"/>
      <c r="J97" s="1"/>
      <c r="K97" s="28"/>
      <c r="L97" s="1"/>
      <c r="M97" s="1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9"/>
      <c r="BN97" s="29"/>
    </row>
    <row r="98" spans="1:66" ht="21" customHeight="1">
      <c r="A98" s="26"/>
      <c r="B98" s="27"/>
      <c r="C98" s="1"/>
      <c r="D98" s="28"/>
      <c r="E98" s="28"/>
      <c r="F98" s="28"/>
      <c r="G98" s="1"/>
      <c r="H98" s="1"/>
      <c r="I98" s="28"/>
      <c r="J98" s="1"/>
      <c r="K98" s="28"/>
      <c r="L98" s="1"/>
      <c r="M98" s="1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9"/>
      <c r="BN98" s="29"/>
    </row>
    <row r="99" spans="1:66" ht="21" customHeight="1">
      <c r="A99" s="26"/>
      <c r="B99" s="27"/>
      <c r="C99" s="1"/>
      <c r="D99" s="28"/>
      <c r="E99" s="28"/>
      <c r="F99" s="28"/>
      <c r="G99" s="1"/>
      <c r="H99" s="1"/>
      <c r="I99" s="28"/>
      <c r="J99" s="1"/>
      <c r="K99" s="28"/>
      <c r="L99" s="1"/>
      <c r="M99" s="1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9"/>
      <c r="BN99" s="29"/>
    </row>
    <row r="100" spans="1:66" ht="21" customHeight="1">
      <c r="A100" s="26"/>
      <c r="B100" s="27"/>
      <c r="C100" s="1"/>
      <c r="D100" s="28"/>
      <c r="E100" s="28"/>
      <c r="F100" s="28"/>
      <c r="G100" s="1"/>
      <c r="H100" s="1"/>
      <c r="I100" s="28"/>
      <c r="J100" s="1"/>
      <c r="K100" s="28"/>
      <c r="L100" s="1"/>
      <c r="M100" s="1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9"/>
      <c r="BN100" s="29"/>
    </row>
    <row r="101" spans="1:66" ht="21" customHeight="1">
      <c r="A101" s="26"/>
      <c r="B101" s="27"/>
      <c r="C101" s="1"/>
      <c r="D101" s="28"/>
      <c r="E101" s="28"/>
      <c r="F101" s="28"/>
      <c r="G101" s="1"/>
      <c r="H101" s="1"/>
      <c r="I101" s="28"/>
      <c r="J101" s="1"/>
      <c r="K101" s="28"/>
      <c r="L101" s="1"/>
      <c r="M101" s="1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9"/>
      <c r="BN101" s="29"/>
    </row>
    <row r="102" spans="1:66" ht="21" customHeight="1">
      <c r="A102" s="26"/>
      <c r="B102" s="27"/>
      <c r="C102" s="1"/>
      <c r="D102" s="28"/>
      <c r="E102" s="28"/>
      <c r="F102" s="28"/>
      <c r="G102" s="1"/>
      <c r="H102" s="1"/>
      <c r="I102" s="28"/>
      <c r="J102" s="1"/>
      <c r="K102" s="28"/>
      <c r="L102" s="1"/>
      <c r="M102" s="1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9"/>
      <c r="BN102" s="29"/>
    </row>
    <row r="103" spans="1:66" ht="21" customHeight="1">
      <c r="A103" s="26"/>
      <c r="B103" s="27"/>
      <c r="C103" s="1"/>
      <c r="D103" s="28"/>
      <c r="E103" s="28"/>
      <c r="F103" s="28"/>
      <c r="G103" s="1"/>
      <c r="H103" s="1"/>
      <c r="I103" s="28"/>
      <c r="J103" s="1"/>
      <c r="K103" s="28"/>
      <c r="L103" s="1"/>
      <c r="M103" s="1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9"/>
      <c r="BN103" s="29"/>
    </row>
    <row r="104" spans="1:66" ht="21" customHeight="1">
      <c r="A104" s="26"/>
      <c r="B104" s="27"/>
      <c r="C104" s="1"/>
      <c r="D104" s="28"/>
      <c r="E104" s="28"/>
      <c r="F104" s="28"/>
      <c r="G104" s="1"/>
      <c r="H104" s="1"/>
      <c r="I104" s="28"/>
      <c r="J104" s="1"/>
      <c r="K104" s="28"/>
      <c r="L104" s="1"/>
      <c r="M104" s="1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9"/>
      <c r="BN104" s="29"/>
    </row>
    <row r="105" spans="1:66" ht="21" customHeight="1">
      <c r="A105" s="26"/>
      <c r="B105" s="27"/>
      <c r="C105" s="1"/>
      <c r="D105" s="28"/>
      <c r="E105" s="28"/>
      <c r="F105" s="28"/>
      <c r="G105" s="1"/>
      <c r="H105" s="1"/>
      <c r="I105" s="28"/>
      <c r="J105" s="1"/>
      <c r="K105" s="28"/>
      <c r="L105" s="1"/>
      <c r="M105" s="1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9"/>
      <c r="BN105" s="29"/>
    </row>
    <row r="106" spans="1:66" ht="21" customHeight="1">
      <c r="A106" s="26"/>
      <c r="B106" s="27"/>
      <c r="C106" s="1"/>
      <c r="D106" s="28"/>
      <c r="E106" s="28"/>
      <c r="F106" s="28"/>
      <c r="G106" s="1"/>
      <c r="H106" s="1"/>
      <c r="I106" s="28"/>
      <c r="J106" s="1"/>
      <c r="K106" s="28"/>
      <c r="L106" s="1"/>
      <c r="M106" s="1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9"/>
      <c r="BN106" s="29"/>
    </row>
    <row r="107" spans="1:66" ht="21" customHeight="1">
      <c r="A107" s="26"/>
      <c r="B107" s="27"/>
      <c r="C107" s="1"/>
      <c r="D107" s="28"/>
      <c r="E107" s="28"/>
      <c r="F107" s="28"/>
      <c r="G107" s="1"/>
      <c r="H107" s="1"/>
      <c r="I107" s="28"/>
      <c r="J107" s="1"/>
      <c r="K107" s="28"/>
      <c r="L107" s="1"/>
      <c r="M107" s="1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9"/>
      <c r="BN107" s="29"/>
    </row>
    <row r="108" spans="1:66" ht="21" customHeight="1">
      <c r="A108" s="26"/>
      <c r="B108" s="27"/>
      <c r="C108" s="1"/>
      <c r="D108" s="28"/>
      <c r="E108" s="28"/>
      <c r="F108" s="28"/>
      <c r="G108" s="1"/>
      <c r="H108" s="1"/>
      <c r="I108" s="28"/>
      <c r="J108" s="1"/>
      <c r="K108" s="28"/>
      <c r="L108" s="1"/>
      <c r="M108" s="1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9"/>
      <c r="BN108" s="29"/>
    </row>
    <row r="109" spans="1:66" ht="21" customHeight="1">
      <c r="A109" s="26"/>
      <c r="B109" s="27"/>
      <c r="C109" s="1"/>
      <c r="D109" s="28"/>
      <c r="E109" s="28"/>
      <c r="F109" s="28"/>
      <c r="G109" s="1"/>
      <c r="H109" s="1"/>
      <c r="I109" s="28"/>
      <c r="J109" s="1"/>
      <c r="K109" s="28"/>
      <c r="L109" s="1"/>
      <c r="M109" s="1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9"/>
      <c r="BN109" s="29"/>
    </row>
    <row r="110" spans="1:66" ht="21" customHeight="1">
      <c r="A110" s="26"/>
      <c r="B110" s="27"/>
      <c r="C110" s="1"/>
      <c r="D110" s="28"/>
      <c r="E110" s="28"/>
      <c r="F110" s="28"/>
      <c r="G110" s="1"/>
      <c r="H110" s="1"/>
      <c r="I110" s="28"/>
      <c r="J110" s="1"/>
      <c r="K110" s="28"/>
      <c r="L110" s="1"/>
      <c r="M110" s="1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9"/>
      <c r="BN110" s="29"/>
    </row>
    <row r="111" spans="1:66" ht="21" customHeight="1">
      <c r="A111" s="26"/>
      <c r="B111" s="27"/>
      <c r="C111" s="1"/>
      <c r="D111" s="28"/>
      <c r="E111" s="28"/>
      <c r="F111" s="28"/>
      <c r="G111" s="1"/>
      <c r="H111" s="1"/>
      <c r="I111" s="28"/>
      <c r="J111" s="1"/>
      <c r="K111" s="28"/>
      <c r="L111" s="1"/>
      <c r="M111" s="1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9"/>
      <c r="BN111" s="29"/>
    </row>
    <row r="112" spans="1:66" ht="21" customHeight="1">
      <c r="A112" s="26"/>
      <c r="B112" s="27"/>
      <c r="C112" s="1"/>
      <c r="D112" s="28"/>
      <c r="E112" s="28"/>
      <c r="F112" s="28"/>
      <c r="G112" s="1"/>
      <c r="H112" s="1"/>
      <c r="I112" s="28"/>
      <c r="J112" s="1"/>
      <c r="K112" s="28"/>
      <c r="L112" s="1"/>
      <c r="M112" s="1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9"/>
      <c r="BN112" s="29"/>
    </row>
    <row r="113" spans="1:66" ht="21" customHeight="1">
      <c r="A113" s="26"/>
      <c r="B113" s="27"/>
      <c r="C113" s="1"/>
      <c r="D113" s="28"/>
      <c r="E113" s="28"/>
      <c r="F113" s="28"/>
      <c r="G113" s="1"/>
      <c r="H113" s="1"/>
      <c r="I113" s="28"/>
      <c r="J113" s="1"/>
      <c r="K113" s="28"/>
      <c r="L113" s="1"/>
      <c r="M113" s="1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9"/>
      <c r="BN113" s="29"/>
    </row>
    <row r="114" spans="1:66" ht="21" customHeight="1">
      <c r="A114" s="26"/>
      <c r="B114" s="27"/>
      <c r="C114" s="1"/>
      <c r="D114" s="28"/>
      <c r="E114" s="28"/>
      <c r="F114" s="28"/>
      <c r="G114" s="1"/>
      <c r="H114" s="1"/>
      <c r="I114" s="28"/>
      <c r="J114" s="1"/>
      <c r="K114" s="28"/>
      <c r="L114" s="1"/>
      <c r="M114" s="1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9"/>
      <c r="BN114" s="29"/>
    </row>
    <row r="115" spans="1:66" ht="21" customHeight="1">
      <c r="A115" s="26"/>
      <c r="B115" s="27"/>
      <c r="C115" s="1"/>
      <c r="D115" s="28"/>
      <c r="E115" s="28"/>
      <c r="F115" s="28"/>
      <c r="G115" s="1"/>
      <c r="H115" s="1"/>
      <c r="I115" s="28"/>
      <c r="J115" s="1"/>
      <c r="K115" s="28"/>
      <c r="L115" s="1"/>
      <c r="M115" s="1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9"/>
      <c r="BN115" s="29"/>
    </row>
    <row r="116" spans="1:66" ht="21" customHeight="1">
      <c r="A116" s="26"/>
      <c r="B116" s="27"/>
      <c r="C116" s="1"/>
      <c r="D116" s="28"/>
      <c r="E116" s="28"/>
      <c r="F116" s="28"/>
      <c r="G116" s="1"/>
      <c r="H116" s="1"/>
      <c r="I116" s="28"/>
      <c r="J116" s="1"/>
      <c r="K116" s="28"/>
      <c r="L116" s="1"/>
      <c r="M116" s="1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9"/>
      <c r="BN116" s="29"/>
    </row>
    <row r="117" spans="1:66" ht="21" customHeight="1">
      <c r="A117" s="26"/>
      <c r="B117" s="27"/>
      <c r="C117" s="1"/>
      <c r="D117" s="28"/>
      <c r="E117" s="28"/>
      <c r="F117" s="28"/>
      <c r="G117" s="1"/>
      <c r="H117" s="1"/>
      <c r="I117" s="28"/>
      <c r="J117" s="1"/>
      <c r="K117" s="28"/>
      <c r="L117" s="1"/>
      <c r="M117" s="1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9"/>
      <c r="BN117" s="29"/>
    </row>
    <row r="118" spans="1:66" ht="21" customHeight="1">
      <c r="A118" s="26"/>
      <c r="B118" s="27"/>
      <c r="C118" s="1"/>
      <c r="D118" s="28"/>
      <c r="E118" s="28"/>
      <c r="F118" s="28"/>
      <c r="G118" s="1"/>
      <c r="H118" s="1"/>
      <c r="I118" s="28"/>
      <c r="J118" s="1"/>
      <c r="K118" s="28"/>
      <c r="L118" s="1"/>
      <c r="M118" s="1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9"/>
      <c r="BN118" s="29"/>
    </row>
    <row r="119" spans="1:66" ht="21" customHeight="1">
      <c r="A119" s="26"/>
      <c r="B119" s="27"/>
      <c r="C119" s="1"/>
      <c r="D119" s="28"/>
      <c r="E119" s="28"/>
      <c r="F119" s="28"/>
      <c r="G119" s="1"/>
      <c r="H119" s="1"/>
      <c r="I119" s="28"/>
      <c r="J119" s="1"/>
      <c r="K119" s="28"/>
      <c r="L119" s="1"/>
      <c r="M119" s="1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9"/>
      <c r="BN119" s="29"/>
    </row>
    <row r="120" spans="1:66" ht="21" customHeight="1">
      <c r="A120" s="26"/>
      <c r="B120" s="27"/>
      <c r="C120" s="1"/>
      <c r="D120" s="28"/>
      <c r="E120" s="28"/>
      <c r="F120" s="28"/>
      <c r="G120" s="1"/>
      <c r="H120" s="1"/>
      <c r="I120" s="28"/>
      <c r="J120" s="1"/>
      <c r="K120" s="28"/>
      <c r="L120" s="1"/>
      <c r="M120" s="1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9"/>
      <c r="BN120" s="29"/>
    </row>
    <row r="121" spans="1:66" ht="21" customHeight="1">
      <c r="A121" s="26"/>
      <c r="B121" s="27"/>
      <c r="C121" s="1"/>
      <c r="D121" s="28"/>
      <c r="E121" s="28"/>
      <c r="F121" s="28"/>
      <c r="G121" s="1"/>
      <c r="H121" s="1"/>
      <c r="I121" s="28"/>
      <c r="J121" s="1"/>
      <c r="K121" s="28"/>
      <c r="L121" s="1"/>
      <c r="M121" s="1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9"/>
      <c r="BN121" s="29"/>
    </row>
    <row r="122" spans="1:66" ht="21" customHeight="1">
      <c r="A122" s="26"/>
      <c r="B122" s="27"/>
      <c r="C122" s="1"/>
      <c r="D122" s="28"/>
      <c r="E122" s="28"/>
      <c r="F122" s="28"/>
      <c r="G122" s="1"/>
      <c r="H122" s="1"/>
      <c r="I122" s="28"/>
      <c r="J122" s="1"/>
      <c r="K122" s="28"/>
      <c r="L122" s="1"/>
      <c r="M122" s="1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9"/>
      <c r="BN122" s="29"/>
    </row>
    <row r="123" spans="1:66" ht="21" customHeight="1">
      <c r="A123" s="26"/>
      <c r="B123" s="27"/>
      <c r="C123" s="1"/>
      <c r="D123" s="28"/>
      <c r="E123" s="28"/>
      <c r="F123" s="28"/>
      <c r="G123" s="1"/>
      <c r="H123" s="1"/>
      <c r="I123" s="28"/>
      <c r="J123" s="1"/>
      <c r="K123" s="28"/>
      <c r="L123" s="1"/>
      <c r="M123" s="1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9"/>
      <c r="BN123" s="29"/>
    </row>
    <row r="124" spans="1:66" ht="21" customHeight="1">
      <c r="A124" s="26"/>
      <c r="B124" s="27"/>
      <c r="C124" s="1"/>
      <c r="D124" s="28"/>
      <c r="E124" s="28"/>
      <c r="F124" s="28"/>
      <c r="G124" s="1"/>
      <c r="H124" s="1"/>
      <c r="I124" s="28"/>
      <c r="J124" s="1"/>
      <c r="K124" s="28"/>
      <c r="L124" s="1"/>
      <c r="M124" s="1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9"/>
      <c r="BN124" s="29"/>
    </row>
    <row r="125" spans="1:66" ht="21" customHeight="1">
      <c r="A125" s="26"/>
      <c r="B125" s="27"/>
      <c r="C125" s="1"/>
      <c r="D125" s="28"/>
      <c r="E125" s="28"/>
      <c r="F125" s="28"/>
      <c r="G125" s="1"/>
      <c r="H125" s="1"/>
      <c r="I125" s="28"/>
      <c r="J125" s="1"/>
      <c r="K125" s="28"/>
      <c r="L125" s="1"/>
      <c r="M125" s="1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9"/>
      <c r="BN125" s="29"/>
    </row>
    <row r="126" spans="1:66" ht="21" customHeight="1">
      <c r="A126" s="26"/>
      <c r="B126" s="27"/>
      <c r="C126" s="1"/>
      <c r="D126" s="28"/>
      <c r="E126" s="28"/>
      <c r="F126" s="28"/>
      <c r="G126" s="1"/>
      <c r="H126" s="1"/>
      <c r="I126" s="28"/>
      <c r="J126" s="1"/>
      <c r="K126" s="28"/>
      <c r="L126" s="1"/>
      <c r="M126" s="1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9"/>
      <c r="BN126" s="29"/>
    </row>
    <row r="127" spans="1:66" ht="21" customHeight="1">
      <c r="A127" s="26"/>
      <c r="B127" s="27"/>
      <c r="C127" s="1"/>
      <c r="D127" s="28"/>
      <c r="E127" s="28"/>
      <c r="F127" s="28"/>
      <c r="G127" s="1"/>
      <c r="H127" s="1"/>
      <c r="I127" s="28"/>
      <c r="J127" s="1"/>
      <c r="K127" s="28"/>
      <c r="L127" s="1"/>
      <c r="M127" s="1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9"/>
      <c r="BN127" s="29"/>
    </row>
    <row r="128" spans="1:66" ht="21" customHeight="1">
      <c r="A128" s="26"/>
      <c r="B128" s="27"/>
      <c r="C128" s="1"/>
      <c r="D128" s="28"/>
      <c r="E128" s="28"/>
      <c r="F128" s="28"/>
      <c r="G128" s="1"/>
      <c r="H128" s="1"/>
      <c r="I128" s="28"/>
      <c r="J128" s="1"/>
      <c r="K128" s="28"/>
      <c r="L128" s="1"/>
      <c r="M128" s="1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9"/>
      <c r="BN128" s="29"/>
    </row>
    <row r="129" spans="1:66" ht="21" customHeight="1">
      <c r="A129" s="26"/>
      <c r="B129" s="27"/>
      <c r="C129" s="1"/>
      <c r="D129" s="28"/>
      <c r="E129" s="28"/>
      <c r="F129" s="28"/>
      <c r="G129" s="1"/>
      <c r="H129" s="1"/>
      <c r="I129" s="28"/>
      <c r="J129" s="1"/>
      <c r="K129" s="28"/>
      <c r="L129" s="1"/>
      <c r="M129" s="1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9"/>
      <c r="BN129" s="29"/>
    </row>
    <row r="130" spans="1:66" ht="21" customHeight="1">
      <c r="A130" s="26"/>
      <c r="B130" s="27"/>
      <c r="C130" s="1"/>
      <c r="D130" s="28"/>
      <c r="E130" s="28"/>
      <c r="F130" s="28"/>
      <c r="G130" s="1"/>
      <c r="H130" s="1"/>
      <c r="I130" s="28"/>
      <c r="J130" s="1"/>
      <c r="K130" s="28"/>
      <c r="L130" s="1"/>
      <c r="M130" s="1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9"/>
      <c r="BN130" s="29"/>
    </row>
    <row r="131" spans="1:66" ht="21" customHeight="1">
      <c r="A131" s="26"/>
      <c r="B131" s="27"/>
      <c r="C131" s="1"/>
      <c r="D131" s="28"/>
      <c r="E131" s="28"/>
      <c r="F131" s="28"/>
      <c r="G131" s="1"/>
      <c r="H131" s="1"/>
      <c r="I131" s="28"/>
      <c r="J131" s="1"/>
      <c r="K131" s="28"/>
      <c r="L131" s="1"/>
      <c r="M131" s="1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9"/>
      <c r="BN131" s="29"/>
    </row>
    <row r="132" spans="1:66" ht="21" customHeight="1">
      <c r="A132" s="26"/>
      <c r="B132" s="27"/>
      <c r="C132" s="1"/>
      <c r="D132" s="28"/>
      <c r="E132" s="28"/>
      <c r="F132" s="28"/>
      <c r="G132" s="1"/>
      <c r="H132" s="1"/>
      <c r="I132" s="28"/>
      <c r="J132" s="1"/>
      <c r="K132" s="28"/>
      <c r="L132" s="1"/>
      <c r="M132" s="1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9"/>
      <c r="BN132" s="29"/>
    </row>
    <row r="133" spans="1:66" ht="21" customHeight="1">
      <c r="A133" s="26"/>
      <c r="B133" s="27"/>
      <c r="C133" s="1"/>
      <c r="D133" s="28"/>
      <c r="E133" s="28"/>
      <c r="F133" s="28"/>
      <c r="G133" s="1"/>
      <c r="H133" s="1"/>
      <c r="I133" s="28"/>
      <c r="J133" s="1"/>
      <c r="K133" s="28"/>
      <c r="L133" s="1"/>
      <c r="M133" s="1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9"/>
      <c r="BN133" s="29"/>
    </row>
    <row r="134" spans="1:66" ht="21" customHeight="1">
      <c r="A134" s="26"/>
      <c r="B134" s="27"/>
      <c r="C134" s="1"/>
      <c r="D134" s="28"/>
      <c r="E134" s="28"/>
      <c r="F134" s="28"/>
      <c r="G134" s="1"/>
      <c r="H134" s="1"/>
      <c r="I134" s="28"/>
      <c r="J134" s="1"/>
      <c r="K134" s="28"/>
      <c r="L134" s="1"/>
      <c r="M134" s="1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9"/>
      <c r="BN134" s="29"/>
    </row>
    <row r="135" spans="1:66" ht="21" customHeight="1">
      <c r="A135" s="26"/>
      <c r="B135" s="27"/>
      <c r="C135" s="1"/>
      <c r="D135" s="28"/>
      <c r="E135" s="28"/>
      <c r="F135" s="28"/>
      <c r="G135" s="1"/>
      <c r="H135" s="1"/>
      <c r="I135" s="28"/>
      <c r="J135" s="1"/>
      <c r="K135" s="28"/>
      <c r="L135" s="1"/>
      <c r="M135" s="1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9"/>
      <c r="BN135" s="29"/>
    </row>
    <row r="136" spans="1:66" ht="21" customHeight="1">
      <c r="A136" s="26"/>
      <c r="B136" s="27"/>
      <c r="C136" s="1"/>
      <c r="D136" s="28"/>
      <c r="E136" s="28"/>
      <c r="F136" s="28"/>
      <c r="G136" s="1"/>
      <c r="H136" s="1"/>
      <c r="I136" s="28"/>
      <c r="J136" s="1"/>
      <c r="K136" s="28"/>
      <c r="L136" s="1"/>
      <c r="M136" s="1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9"/>
      <c r="BN136" s="29"/>
    </row>
    <row r="137" spans="1:66" ht="21" customHeight="1">
      <c r="A137" s="26"/>
      <c r="B137" s="27"/>
      <c r="C137" s="1"/>
      <c r="D137" s="28"/>
      <c r="E137" s="28"/>
      <c r="F137" s="28"/>
      <c r="G137" s="1"/>
      <c r="H137" s="1"/>
      <c r="I137" s="28"/>
      <c r="J137" s="1"/>
      <c r="K137" s="28"/>
      <c r="L137" s="1"/>
      <c r="M137" s="1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9"/>
      <c r="BN137" s="29"/>
    </row>
    <row r="138" spans="1:66" ht="21" customHeight="1">
      <c r="A138" s="26"/>
      <c r="B138" s="27"/>
      <c r="C138" s="1"/>
      <c r="D138" s="28"/>
      <c r="E138" s="28"/>
      <c r="F138" s="28"/>
      <c r="G138" s="1"/>
      <c r="H138" s="1"/>
      <c r="I138" s="28"/>
      <c r="J138" s="1"/>
      <c r="K138" s="28"/>
      <c r="L138" s="1"/>
      <c r="M138" s="1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9"/>
      <c r="BN138" s="29"/>
    </row>
    <row r="139" spans="1:66" ht="21" customHeight="1">
      <c r="A139" s="26"/>
      <c r="B139" s="27"/>
      <c r="C139" s="1"/>
      <c r="D139" s="28"/>
      <c r="E139" s="28"/>
      <c r="F139" s="28"/>
      <c r="G139" s="1"/>
      <c r="H139" s="1"/>
      <c r="I139" s="28"/>
      <c r="J139" s="1"/>
      <c r="K139" s="28"/>
      <c r="L139" s="1"/>
      <c r="M139" s="1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9"/>
      <c r="BN139" s="29"/>
    </row>
    <row r="140" spans="1:66" ht="21" customHeight="1">
      <c r="A140" s="26"/>
      <c r="B140" s="27"/>
      <c r="C140" s="1"/>
      <c r="D140" s="28"/>
      <c r="E140" s="28"/>
      <c r="F140" s="28"/>
      <c r="G140" s="1"/>
      <c r="H140" s="1"/>
      <c r="I140" s="28"/>
      <c r="J140" s="1"/>
      <c r="K140" s="28"/>
      <c r="L140" s="1"/>
      <c r="M140" s="1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9"/>
      <c r="BN140" s="29"/>
    </row>
    <row r="141" spans="1:66" ht="21" customHeight="1">
      <c r="A141" s="26"/>
      <c r="B141" s="27"/>
      <c r="C141" s="1"/>
      <c r="D141" s="28"/>
      <c r="E141" s="28"/>
      <c r="F141" s="28"/>
      <c r="G141" s="1"/>
      <c r="H141" s="1"/>
      <c r="I141" s="28"/>
      <c r="J141" s="1"/>
      <c r="K141" s="28"/>
      <c r="L141" s="1"/>
      <c r="M141" s="1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9"/>
      <c r="BN141" s="29"/>
    </row>
    <row r="142" spans="1:66" ht="21" customHeight="1">
      <c r="A142" s="26"/>
      <c r="B142" s="27"/>
      <c r="C142" s="1"/>
      <c r="D142" s="28"/>
      <c r="E142" s="28"/>
      <c r="F142" s="28"/>
      <c r="G142" s="1"/>
      <c r="H142" s="1"/>
      <c r="I142" s="28"/>
      <c r="J142" s="1"/>
      <c r="K142" s="28"/>
      <c r="L142" s="1"/>
      <c r="M142" s="1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9"/>
      <c r="BN142" s="29"/>
    </row>
    <row r="143" spans="1:66" ht="21" customHeight="1">
      <c r="A143" s="26"/>
      <c r="B143" s="27"/>
      <c r="C143" s="1"/>
      <c r="D143" s="28"/>
      <c r="E143" s="28"/>
      <c r="F143" s="28"/>
      <c r="G143" s="1"/>
      <c r="H143" s="1"/>
      <c r="I143" s="28"/>
      <c r="J143" s="1"/>
      <c r="K143" s="28"/>
      <c r="L143" s="1"/>
      <c r="M143" s="1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9"/>
      <c r="BN143" s="29"/>
    </row>
    <row r="144" spans="1:66" ht="21" customHeight="1">
      <c r="A144" s="26"/>
      <c r="B144" s="27"/>
      <c r="C144" s="1"/>
      <c r="D144" s="28"/>
      <c r="E144" s="28"/>
      <c r="F144" s="28"/>
      <c r="G144" s="1"/>
      <c r="H144" s="1"/>
      <c r="I144" s="28"/>
      <c r="J144" s="1"/>
      <c r="K144" s="28"/>
      <c r="L144" s="1"/>
      <c r="M144" s="1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9"/>
      <c r="BN144" s="29"/>
    </row>
    <row r="145" spans="1:66" ht="21" customHeight="1">
      <c r="A145" s="26"/>
      <c r="B145" s="27"/>
      <c r="C145" s="1"/>
      <c r="D145" s="28"/>
      <c r="E145" s="28"/>
      <c r="F145" s="28"/>
      <c r="G145" s="1"/>
      <c r="H145" s="1"/>
      <c r="I145" s="28"/>
      <c r="J145" s="1"/>
      <c r="K145" s="28"/>
      <c r="L145" s="1"/>
      <c r="M145" s="1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9"/>
      <c r="BN145" s="29"/>
    </row>
    <row r="146" spans="1:66" ht="21" customHeight="1">
      <c r="A146" s="26"/>
      <c r="B146" s="27"/>
      <c r="C146" s="1"/>
      <c r="D146" s="28"/>
      <c r="E146" s="28"/>
      <c r="F146" s="28"/>
      <c r="G146" s="1"/>
      <c r="H146" s="1"/>
      <c r="I146" s="28"/>
      <c r="J146" s="1"/>
      <c r="K146" s="28"/>
      <c r="L146" s="1"/>
      <c r="M146" s="1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9"/>
      <c r="BN146" s="29"/>
    </row>
    <row r="147" spans="1:66" ht="21" customHeight="1">
      <c r="A147" s="26"/>
      <c r="B147" s="27"/>
      <c r="C147" s="1"/>
      <c r="D147" s="28"/>
      <c r="E147" s="28"/>
      <c r="F147" s="28"/>
      <c r="G147" s="1"/>
      <c r="H147" s="1"/>
      <c r="I147" s="28"/>
      <c r="J147" s="1"/>
      <c r="K147" s="28"/>
      <c r="L147" s="1"/>
      <c r="M147" s="1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9"/>
      <c r="BN147" s="29"/>
    </row>
    <row r="148" spans="1:66" ht="21" customHeight="1">
      <c r="A148" s="26"/>
      <c r="B148" s="27"/>
      <c r="C148" s="1"/>
      <c r="D148" s="28"/>
      <c r="E148" s="28"/>
      <c r="F148" s="28"/>
      <c r="G148" s="1"/>
      <c r="H148" s="1"/>
      <c r="I148" s="28"/>
      <c r="J148" s="1"/>
      <c r="K148" s="28"/>
      <c r="L148" s="1"/>
      <c r="M148" s="1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9"/>
      <c r="BN148" s="29"/>
    </row>
    <row r="149" spans="1:66" ht="21" customHeight="1">
      <c r="A149" s="26"/>
      <c r="B149" s="27"/>
      <c r="C149" s="1"/>
      <c r="D149" s="28"/>
      <c r="E149" s="28"/>
      <c r="F149" s="28"/>
      <c r="G149" s="1"/>
      <c r="H149" s="1"/>
      <c r="I149" s="28"/>
      <c r="J149" s="1"/>
      <c r="K149" s="28"/>
      <c r="L149" s="1"/>
      <c r="M149" s="1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9"/>
      <c r="BN149" s="29"/>
    </row>
    <row r="150" spans="1:66" ht="21" customHeight="1">
      <c r="A150" s="26"/>
      <c r="B150" s="27"/>
      <c r="C150" s="1"/>
      <c r="D150" s="28"/>
      <c r="E150" s="28"/>
      <c r="F150" s="28"/>
      <c r="G150" s="1"/>
      <c r="H150" s="1"/>
      <c r="I150" s="28"/>
      <c r="J150" s="1"/>
      <c r="K150" s="28"/>
      <c r="L150" s="1"/>
      <c r="M150" s="1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9"/>
      <c r="BN150" s="29"/>
    </row>
    <row r="151" spans="1:66" ht="21" customHeight="1">
      <c r="A151" s="26"/>
      <c r="B151" s="27"/>
      <c r="C151" s="1"/>
      <c r="D151" s="28"/>
      <c r="E151" s="28"/>
      <c r="F151" s="28"/>
      <c r="G151" s="1"/>
      <c r="H151" s="1"/>
      <c r="I151" s="28"/>
      <c r="J151" s="1"/>
      <c r="K151" s="28"/>
      <c r="L151" s="1"/>
      <c r="M151" s="1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9"/>
      <c r="BN151" s="29"/>
    </row>
    <row r="152" spans="1:66" ht="21" customHeight="1">
      <c r="A152" s="26"/>
      <c r="B152" s="27"/>
      <c r="C152" s="1"/>
      <c r="D152" s="28"/>
      <c r="E152" s="28"/>
      <c r="F152" s="28"/>
      <c r="G152" s="1"/>
      <c r="H152" s="1"/>
      <c r="I152" s="28"/>
      <c r="J152" s="1"/>
      <c r="K152" s="28"/>
      <c r="L152" s="1"/>
      <c r="M152" s="1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9"/>
      <c r="BN152" s="29"/>
    </row>
    <row r="153" spans="1:66" ht="21" customHeight="1">
      <c r="A153" s="26"/>
      <c r="B153" s="27"/>
      <c r="C153" s="1"/>
      <c r="D153" s="28"/>
      <c r="E153" s="28"/>
      <c r="F153" s="28"/>
      <c r="G153" s="1"/>
      <c r="H153" s="1"/>
      <c r="I153" s="28"/>
      <c r="J153" s="1"/>
      <c r="K153" s="28"/>
      <c r="L153" s="1"/>
      <c r="M153" s="1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9"/>
      <c r="BN153" s="29"/>
    </row>
    <row r="154" spans="1:66" ht="21" customHeight="1">
      <c r="A154" s="26"/>
      <c r="B154" s="27"/>
      <c r="C154" s="1"/>
      <c r="D154" s="28"/>
      <c r="E154" s="28"/>
      <c r="F154" s="28"/>
      <c r="G154" s="1"/>
      <c r="H154" s="1"/>
      <c r="I154" s="28"/>
      <c r="J154" s="1"/>
      <c r="K154" s="28"/>
      <c r="L154" s="1"/>
      <c r="M154" s="1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9"/>
      <c r="BN154" s="29"/>
    </row>
    <row r="155" spans="1:66" ht="21" customHeight="1">
      <c r="A155" s="26"/>
      <c r="B155" s="27"/>
      <c r="C155" s="1"/>
      <c r="D155" s="28"/>
      <c r="E155" s="28"/>
      <c r="F155" s="28"/>
      <c r="G155" s="1"/>
      <c r="H155" s="1"/>
      <c r="I155" s="28"/>
      <c r="J155" s="1"/>
      <c r="K155" s="28"/>
      <c r="L155" s="1"/>
      <c r="M155" s="1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9"/>
      <c r="BN155" s="29"/>
    </row>
    <row r="156" spans="1:66" ht="21" customHeight="1">
      <c r="A156" s="26"/>
      <c r="B156" s="27"/>
      <c r="C156" s="1"/>
      <c r="D156" s="28"/>
      <c r="E156" s="28"/>
      <c r="F156" s="28"/>
      <c r="G156" s="1"/>
      <c r="H156" s="1"/>
      <c r="I156" s="28"/>
      <c r="J156" s="1"/>
      <c r="K156" s="28"/>
      <c r="L156" s="1"/>
      <c r="M156" s="1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9"/>
      <c r="BN156" s="29"/>
    </row>
    <row r="157" spans="1:66" ht="21" customHeight="1">
      <c r="A157" s="26"/>
      <c r="B157" s="27"/>
      <c r="C157" s="1"/>
      <c r="D157" s="28"/>
      <c r="E157" s="28"/>
      <c r="F157" s="28"/>
      <c r="G157" s="1"/>
      <c r="H157" s="1"/>
      <c r="I157" s="28"/>
      <c r="J157" s="1"/>
      <c r="K157" s="28"/>
      <c r="L157" s="1"/>
      <c r="M157" s="1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9"/>
      <c r="BN157" s="29"/>
    </row>
    <row r="158" spans="1:66" ht="21" customHeight="1">
      <c r="A158" s="26"/>
      <c r="B158" s="27"/>
      <c r="C158" s="1"/>
      <c r="D158" s="28"/>
      <c r="E158" s="28"/>
      <c r="F158" s="28"/>
      <c r="G158" s="1"/>
      <c r="H158" s="1"/>
      <c r="I158" s="28"/>
      <c r="J158" s="1"/>
      <c r="K158" s="28"/>
      <c r="L158" s="1"/>
      <c r="M158" s="1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9"/>
      <c r="BN158" s="29"/>
    </row>
    <row r="159" spans="1:66" ht="21" customHeight="1">
      <c r="A159" s="26"/>
      <c r="B159" s="27"/>
      <c r="C159" s="1"/>
      <c r="D159" s="28"/>
      <c r="E159" s="28"/>
      <c r="F159" s="28"/>
      <c r="G159" s="1"/>
      <c r="H159" s="1"/>
      <c r="I159" s="28"/>
      <c r="J159" s="1"/>
      <c r="K159" s="28"/>
      <c r="L159" s="1"/>
      <c r="M159" s="1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9"/>
      <c r="BN159" s="29"/>
    </row>
    <row r="160" spans="1:66" ht="21" customHeight="1">
      <c r="A160" s="26"/>
      <c r="B160" s="27"/>
      <c r="C160" s="1"/>
      <c r="D160" s="28"/>
      <c r="E160" s="28"/>
      <c r="F160" s="28"/>
      <c r="G160" s="1"/>
      <c r="H160" s="1"/>
      <c r="I160" s="28"/>
      <c r="J160" s="1"/>
      <c r="K160" s="28"/>
      <c r="L160" s="1"/>
      <c r="M160" s="1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9"/>
      <c r="BN160" s="29"/>
    </row>
    <row r="161" spans="1:66" ht="21" customHeight="1">
      <c r="A161" s="26"/>
      <c r="B161" s="27"/>
      <c r="C161" s="1"/>
      <c r="D161" s="28"/>
      <c r="E161" s="28"/>
      <c r="F161" s="28"/>
      <c r="G161" s="1"/>
      <c r="H161" s="1"/>
      <c r="I161" s="28"/>
      <c r="J161" s="1"/>
      <c r="K161" s="28"/>
      <c r="L161" s="1"/>
      <c r="M161" s="1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9"/>
      <c r="BN161" s="29"/>
    </row>
    <row r="162" spans="1:66" ht="21" customHeight="1">
      <c r="A162" s="26"/>
      <c r="B162" s="27"/>
      <c r="C162" s="1"/>
      <c r="D162" s="28"/>
      <c r="E162" s="28"/>
      <c r="F162" s="28"/>
      <c r="G162" s="1"/>
      <c r="H162" s="1"/>
      <c r="I162" s="28"/>
      <c r="J162" s="1"/>
      <c r="K162" s="28"/>
      <c r="L162" s="1"/>
      <c r="M162" s="1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9"/>
      <c r="BN162" s="29"/>
    </row>
    <row r="163" spans="1:66" ht="21" customHeight="1">
      <c r="A163" s="26"/>
      <c r="B163" s="27"/>
      <c r="C163" s="1"/>
      <c r="D163" s="28"/>
      <c r="E163" s="28"/>
      <c r="F163" s="28"/>
      <c r="G163" s="1"/>
      <c r="H163" s="1"/>
      <c r="I163" s="28"/>
      <c r="J163" s="1"/>
      <c r="K163" s="28"/>
      <c r="L163" s="1"/>
      <c r="M163" s="1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9"/>
      <c r="BN163" s="29"/>
    </row>
    <row r="164" spans="1:66" ht="21" customHeight="1">
      <c r="A164" s="26"/>
      <c r="B164" s="27"/>
      <c r="C164" s="1"/>
      <c r="D164" s="28"/>
      <c r="E164" s="28"/>
      <c r="F164" s="28"/>
      <c r="G164" s="1"/>
      <c r="H164" s="1"/>
      <c r="I164" s="28"/>
      <c r="J164" s="1"/>
      <c r="K164" s="28"/>
      <c r="L164" s="1"/>
      <c r="M164" s="1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9"/>
      <c r="BN164" s="29"/>
    </row>
    <row r="165" spans="1:66" ht="21" customHeight="1">
      <c r="A165" s="26"/>
      <c r="B165" s="27"/>
      <c r="C165" s="1"/>
      <c r="D165" s="28"/>
      <c r="E165" s="28"/>
      <c r="F165" s="28"/>
      <c r="G165" s="1"/>
      <c r="H165" s="1"/>
      <c r="I165" s="28"/>
      <c r="J165" s="1"/>
      <c r="K165" s="28"/>
      <c r="L165" s="1"/>
      <c r="M165" s="1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9"/>
      <c r="BN165" s="29"/>
    </row>
    <row r="166" spans="1:66" ht="21" customHeight="1">
      <c r="A166" s="26"/>
      <c r="B166" s="27"/>
      <c r="C166" s="1"/>
      <c r="D166" s="28"/>
      <c r="E166" s="28"/>
      <c r="F166" s="28"/>
      <c r="G166" s="1"/>
      <c r="H166" s="1"/>
      <c r="I166" s="28"/>
      <c r="J166" s="1"/>
      <c r="K166" s="28"/>
      <c r="L166" s="1"/>
      <c r="M166" s="1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9"/>
      <c r="BN166" s="29"/>
    </row>
    <row r="167" spans="1:66" ht="21" customHeight="1">
      <c r="A167" s="26"/>
      <c r="B167" s="27"/>
      <c r="C167" s="1"/>
      <c r="D167" s="28"/>
      <c r="E167" s="28"/>
      <c r="F167" s="28"/>
      <c r="G167" s="1"/>
      <c r="H167" s="1"/>
      <c r="I167" s="28"/>
      <c r="J167" s="1"/>
      <c r="K167" s="28"/>
      <c r="L167" s="1"/>
      <c r="M167" s="1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9"/>
      <c r="BN167" s="29"/>
    </row>
    <row r="168" spans="1:66" ht="21" customHeight="1">
      <c r="A168" s="26"/>
      <c r="B168" s="27"/>
      <c r="C168" s="1"/>
      <c r="D168" s="28"/>
      <c r="E168" s="28"/>
      <c r="F168" s="28"/>
      <c r="G168" s="1"/>
      <c r="H168" s="1"/>
      <c r="I168" s="28"/>
      <c r="J168" s="1"/>
      <c r="K168" s="28"/>
      <c r="L168" s="1"/>
      <c r="M168" s="1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9"/>
      <c r="BN168" s="29"/>
    </row>
    <row r="169" spans="1:66" ht="21" customHeight="1">
      <c r="A169" s="26"/>
      <c r="B169" s="27"/>
      <c r="C169" s="1"/>
      <c r="D169" s="28"/>
      <c r="E169" s="28"/>
      <c r="F169" s="28"/>
      <c r="G169" s="1"/>
      <c r="H169" s="1"/>
      <c r="I169" s="28"/>
      <c r="J169" s="1"/>
      <c r="K169" s="28"/>
      <c r="L169" s="1"/>
      <c r="M169" s="1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9"/>
      <c r="BN169" s="29"/>
    </row>
    <row r="170" spans="1:66" ht="21" customHeight="1">
      <c r="A170" s="26"/>
      <c r="B170" s="27"/>
      <c r="C170" s="1"/>
      <c r="D170" s="28"/>
      <c r="E170" s="28"/>
      <c r="F170" s="28"/>
      <c r="G170" s="1"/>
      <c r="H170" s="1"/>
      <c r="I170" s="28"/>
      <c r="J170" s="1"/>
      <c r="K170" s="28"/>
      <c r="L170" s="1"/>
      <c r="M170" s="1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9"/>
      <c r="BN170" s="29"/>
    </row>
    <row r="171" spans="1:66" ht="21" customHeight="1">
      <c r="A171" s="26"/>
      <c r="B171" s="27"/>
      <c r="C171" s="1"/>
      <c r="D171" s="28"/>
      <c r="E171" s="28"/>
      <c r="F171" s="28"/>
      <c r="G171" s="1"/>
      <c r="H171" s="1"/>
      <c r="I171" s="28"/>
      <c r="J171" s="1"/>
      <c r="K171" s="28"/>
      <c r="L171" s="1"/>
      <c r="M171" s="1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9"/>
      <c r="BN171" s="29"/>
    </row>
    <row r="172" spans="1:66" ht="21" customHeight="1">
      <c r="A172" s="26"/>
      <c r="B172" s="27"/>
      <c r="C172" s="1"/>
      <c r="D172" s="28"/>
      <c r="E172" s="28"/>
      <c r="F172" s="28"/>
      <c r="G172" s="1"/>
      <c r="H172" s="1"/>
      <c r="I172" s="28"/>
      <c r="J172" s="1"/>
      <c r="K172" s="28"/>
      <c r="L172" s="1"/>
      <c r="M172" s="1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9"/>
      <c r="BN172" s="29"/>
    </row>
    <row r="173" spans="1:66" ht="21" customHeight="1">
      <c r="A173" s="26"/>
      <c r="B173" s="27"/>
      <c r="C173" s="1"/>
      <c r="D173" s="28"/>
      <c r="E173" s="28"/>
      <c r="F173" s="28"/>
      <c r="G173" s="1"/>
      <c r="H173" s="1"/>
      <c r="I173" s="28"/>
      <c r="J173" s="1"/>
      <c r="K173" s="28"/>
      <c r="L173" s="1"/>
      <c r="M173" s="1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9"/>
      <c r="BN173" s="29"/>
    </row>
    <row r="174" spans="1:66" ht="21" customHeight="1">
      <c r="A174" s="26"/>
      <c r="B174" s="27"/>
      <c r="C174" s="1"/>
      <c r="D174" s="28"/>
      <c r="E174" s="28"/>
      <c r="F174" s="28"/>
      <c r="G174" s="1"/>
      <c r="H174" s="1"/>
      <c r="I174" s="28"/>
      <c r="J174" s="1"/>
      <c r="K174" s="28"/>
      <c r="L174" s="1"/>
      <c r="M174" s="1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9"/>
      <c r="BN174" s="29"/>
    </row>
    <row r="175" spans="1:66" ht="21" customHeight="1">
      <c r="A175" s="26"/>
      <c r="B175" s="27"/>
      <c r="C175" s="1"/>
      <c r="D175" s="28"/>
      <c r="E175" s="28"/>
      <c r="F175" s="28"/>
      <c r="G175" s="1"/>
      <c r="H175" s="1"/>
      <c r="I175" s="28"/>
      <c r="J175" s="1"/>
      <c r="K175" s="28"/>
      <c r="L175" s="1"/>
      <c r="M175" s="1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9"/>
      <c r="BN175" s="29"/>
    </row>
    <row r="176" spans="1:66" ht="21" customHeight="1">
      <c r="A176" s="26"/>
      <c r="B176" s="27"/>
      <c r="C176" s="1"/>
      <c r="D176" s="28"/>
      <c r="E176" s="28"/>
      <c r="F176" s="28"/>
      <c r="G176" s="1"/>
      <c r="H176" s="1"/>
      <c r="I176" s="28"/>
      <c r="J176" s="1"/>
      <c r="K176" s="28"/>
      <c r="L176" s="1"/>
      <c r="M176" s="1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9"/>
      <c r="BN176" s="29"/>
    </row>
    <row r="177" spans="1:66" ht="21" customHeight="1">
      <c r="A177" s="26"/>
      <c r="B177" s="27"/>
      <c r="C177" s="1"/>
      <c r="D177" s="28"/>
      <c r="E177" s="28"/>
      <c r="F177" s="28"/>
      <c r="G177" s="1"/>
      <c r="H177" s="1"/>
      <c r="I177" s="28"/>
      <c r="J177" s="1"/>
      <c r="K177" s="28"/>
      <c r="L177" s="1"/>
      <c r="M177" s="1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9"/>
      <c r="BN177" s="29"/>
    </row>
    <row r="178" spans="1:66" ht="21" customHeight="1">
      <c r="A178" s="26"/>
      <c r="B178" s="27"/>
      <c r="C178" s="1"/>
      <c r="D178" s="28"/>
      <c r="E178" s="28"/>
      <c r="F178" s="28"/>
      <c r="G178" s="1"/>
      <c r="H178" s="1"/>
      <c r="I178" s="28"/>
      <c r="J178" s="1"/>
      <c r="K178" s="28"/>
      <c r="L178" s="1"/>
      <c r="M178" s="1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9"/>
      <c r="BN178" s="29"/>
    </row>
    <row r="179" spans="1:66" ht="21" customHeight="1">
      <c r="A179" s="26"/>
      <c r="B179" s="27"/>
      <c r="C179" s="1"/>
      <c r="D179" s="28"/>
      <c r="E179" s="28"/>
      <c r="F179" s="28"/>
      <c r="G179" s="1"/>
      <c r="H179" s="1"/>
      <c r="I179" s="28"/>
      <c r="J179" s="1"/>
      <c r="K179" s="28"/>
      <c r="L179" s="1"/>
      <c r="M179" s="1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9"/>
      <c r="BN179" s="29"/>
    </row>
    <row r="180" spans="1:66" ht="21" customHeight="1">
      <c r="A180" s="26"/>
      <c r="B180" s="27"/>
      <c r="C180" s="1"/>
      <c r="D180" s="28"/>
      <c r="E180" s="28"/>
      <c r="F180" s="28"/>
      <c r="G180" s="1"/>
      <c r="H180" s="1"/>
      <c r="I180" s="28"/>
      <c r="J180" s="1"/>
      <c r="K180" s="28"/>
      <c r="L180" s="1"/>
      <c r="M180" s="1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9"/>
      <c r="BN180" s="29"/>
    </row>
    <row r="181" spans="1:66" ht="21" customHeight="1">
      <c r="A181" s="26"/>
      <c r="B181" s="27"/>
      <c r="C181" s="1"/>
      <c r="D181" s="28"/>
      <c r="E181" s="28"/>
      <c r="F181" s="28"/>
      <c r="G181" s="1"/>
      <c r="H181" s="1"/>
      <c r="I181" s="28"/>
      <c r="J181" s="1"/>
      <c r="K181" s="28"/>
      <c r="L181" s="1"/>
      <c r="M181" s="1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9"/>
      <c r="BN181" s="29"/>
    </row>
    <row r="182" spans="1:66" ht="21" customHeight="1">
      <c r="A182" s="26"/>
      <c r="B182" s="27"/>
      <c r="C182" s="1"/>
      <c r="D182" s="28"/>
      <c r="E182" s="28"/>
      <c r="F182" s="28"/>
      <c r="G182" s="1"/>
      <c r="H182" s="1"/>
      <c r="I182" s="28"/>
      <c r="J182" s="1"/>
      <c r="K182" s="28"/>
      <c r="L182" s="1"/>
      <c r="M182" s="1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9"/>
      <c r="BN182" s="29"/>
    </row>
    <row r="183" spans="1:66" ht="21" customHeight="1">
      <c r="A183" s="26"/>
      <c r="B183" s="27"/>
      <c r="C183" s="1"/>
      <c r="D183" s="28"/>
      <c r="E183" s="28"/>
      <c r="F183" s="28"/>
      <c r="G183" s="1"/>
      <c r="H183" s="1"/>
      <c r="I183" s="28"/>
      <c r="J183" s="1"/>
      <c r="K183" s="28"/>
      <c r="L183" s="1"/>
      <c r="M183" s="1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9"/>
      <c r="BN183" s="29"/>
    </row>
    <row r="184" spans="1:66" ht="21" customHeight="1">
      <c r="A184" s="26"/>
      <c r="B184" s="27"/>
      <c r="C184" s="1"/>
      <c r="D184" s="28"/>
      <c r="E184" s="28"/>
      <c r="F184" s="28"/>
      <c r="G184" s="1"/>
      <c r="H184" s="1"/>
      <c r="I184" s="28"/>
      <c r="J184" s="1"/>
      <c r="K184" s="28"/>
      <c r="L184" s="1"/>
      <c r="M184" s="1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9"/>
      <c r="BN184" s="29"/>
    </row>
    <row r="185" spans="1:66" ht="21" customHeight="1">
      <c r="A185" s="26"/>
      <c r="B185" s="27"/>
      <c r="C185" s="1"/>
      <c r="D185" s="28"/>
      <c r="E185" s="28"/>
      <c r="F185" s="28"/>
      <c r="G185" s="1"/>
      <c r="H185" s="1"/>
      <c r="I185" s="28"/>
      <c r="J185" s="1"/>
      <c r="K185" s="28"/>
      <c r="L185" s="1"/>
      <c r="M185" s="1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9"/>
      <c r="BN185" s="29"/>
    </row>
    <row r="186" spans="1:66" ht="21" customHeight="1">
      <c r="A186" s="26"/>
      <c r="B186" s="27"/>
      <c r="C186" s="1"/>
      <c r="D186" s="28"/>
      <c r="E186" s="28"/>
      <c r="F186" s="28"/>
      <c r="G186" s="1"/>
      <c r="H186" s="1"/>
      <c r="I186" s="28"/>
      <c r="J186" s="1"/>
      <c r="K186" s="28"/>
      <c r="L186" s="1"/>
      <c r="M186" s="1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9"/>
      <c r="BN186" s="29"/>
    </row>
    <row r="187" spans="1:66" ht="21" customHeight="1">
      <c r="A187" s="26"/>
      <c r="B187" s="27"/>
      <c r="C187" s="1"/>
      <c r="D187" s="28"/>
      <c r="E187" s="28"/>
      <c r="F187" s="28"/>
      <c r="G187" s="1"/>
      <c r="H187" s="1"/>
      <c r="I187" s="28"/>
      <c r="J187" s="1"/>
      <c r="K187" s="28"/>
      <c r="L187" s="1"/>
      <c r="M187" s="1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9"/>
      <c r="BN187" s="29"/>
    </row>
    <row r="188" spans="1:66" ht="21" customHeight="1">
      <c r="A188" s="26"/>
      <c r="B188" s="27"/>
      <c r="C188" s="1"/>
      <c r="D188" s="28"/>
      <c r="E188" s="28"/>
      <c r="F188" s="28"/>
      <c r="G188" s="1"/>
      <c r="H188" s="1"/>
      <c r="I188" s="28"/>
      <c r="J188" s="1"/>
      <c r="K188" s="28"/>
      <c r="L188" s="1"/>
      <c r="M188" s="1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9"/>
      <c r="BN188" s="29"/>
    </row>
    <row r="189" spans="1:66" ht="21" customHeight="1">
      <c r="A189" s="26"/>
      <c r="B189" s="27"/>
      <c r="C189" s="1"/>
      <c r="D189" s="28"/>
      <c r="E189" s="28"/>
      <c r="F189" s="28"/>
      <c r="G189" s="1"/>
      <c r="H189" s="1"/>
      <c r="I189" s="28"/>
      <c r="J189" s="1"/>
      <c r="K189" s="28"/>
      <c r="L189" s="1"/>
      <c r="M189" s="1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9"/>
      <c r="BN189" s="29"/>
    </row>
    <row r="190" spans="1:66" ht="21" customHeight="1">
      <c r="A190" s="26"/>
      <c r="B190" s="27"/>
      <c r="C190" s="1"/>
      <c r="D190" s="28"/>
      <c r="E190" s="28"/>
      <c r="F190" s="28"/>
      <c r="G190" s="1"/>
      <c r="H190" s="1"/>
      <c r="I190" s="28"/>
      <c r="J190" s="1"/>
      <c r="K190" s="28"/>
      <c r="L190" s="1"/>
      <c r="M190" s="1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9"/>
      <c r="BN190" s="29"/>
    </row>
    <row r="191" spans="1:66" ht="21" customHeight="1">
      <c r="A191" s="26"/>
      <c r="B191" s="27"/>
      <c r="C191" s="1"/>
      <c r="D191" s="28"/>
      <c r="E191" s="28"/>
      <c r="F191" s="28"/>
      <c r="G191" s="1"/>
      <c r="H191" s="1"/>
      <c r="I191" s="28"/>
      <c r="J191" s="1"/>
      <c r="K191" s="28"/>
      <c r="L191" s="1"/>
      <c r="M191" s="1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9"/>
      <c r="BN191" s="29"/>
    </row>
    <row r="192" spans="1:66" ht="21" customHeight="1">
      <c r="A192" s="26"/>
      <c r="B192" s="27"/>
      <c r="C192" s="1"/>
      <c r="D192" s="28"/>
      <c r="E192" s="28"/>
      <c r="F192" s="28"/>
      <c r="G192" s="1"/>
      <c r="H192" s="1"/>
      <c r="I192" s="28"/>
      <c r="J192" s="1"/>
      <c r="K192" s="28"/>
      <c r="L192" s="1"/>
      <c r="M192" s="1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9"/>
      <c r="BN192" s="29"/>
    </row>
    <row r="193" spans="1:66" ht="21" customHeight="1">
      <c r="A193" s="26"/>
      <c r="B193" s="27"/>
      <c r="C193" s="1"/>
      <c r="D193" s="28"/>
      <c r="E193" s="28"/>
      <c r="F193" s="28"/>
      <c r="G193" s="1"/>
      <c r="H193" s="1"/>
      <c r="I193" s="28"/>
      <c r="J193" s="1"/>
      <c r="K193" s="28"/>
      <c r="L193" s="1"/>
      <c r="M193" s="1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9"/>
      <c r="BN193" s="29"/>
    </row>
    <row r="194" spans="1:66" ht="21" customHeight="1">
      <c r="A194" s="26"/>
      <c r="B194" s="27"/>
      <c r="C194" s="1"/>
      <c r="D194" s="28"/>
      <c r="E194" s="28"/>
      <c r="F194" s="28"/>
      <c r="G194" s="1"/>
      <c r="H194" s="1"/>
      <c r="I194" s="28"/>
      <c r="J194" s="1"/>
      <c r="K194" s="28"/>
      <c r="L194" s="1"/>
      <c r="M194" s="1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9"/>
      <c r="BN194" s="29"/>
    </row>
    <row r="195" spans="1:66" ht="21" customHeight="1">
      <c r="A195" s="26"/>
      <c r="B195" s="27"/>
      <c r="C195" s="1"/>
      <c r="D195" s="28"/>
      <c r="E195" s="28"/>
      <c r="F195" s="28"/>
      <c r="G195" s="1"/>
      <c r="H195" s="1"/>
      <c r="I195" s="28"/>
      <c r="J195" s="1"/>
      <c r="K195" s="28"/>
      <c r="L195" s="1"/>
      <c r="M195" s="1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9"/>
      <c r="BN195" s="29"/>
    </row>
    <row r="196" spans="1:66" ht="21" customHeight="1">
      <c r="A196" s="26"/>
      <c r="B196" s="27"/>
      <c r="C196" s="1"/>
      <c r="D196" s="28"/>
      <c r="E196" s="28"/>
      <c r="F196" s="28"/>
      <c r="G196" s="1"/>
      <c r="H196" s="1"/>
      <c r="I196" s="28"/>
      <c r="J196" s="1"/>
      <c r="K196" s="28"/>
      <c r="L196" s="1"/>
      <c r="M196" s="1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9"/>
      <c r="BN196" s="29"/>
    </row>
    <row r="197" spans="1:66" ht="21" customHeight="1">
      <c r="A197" s="26"/>
      <c r="B197" s="27"/>
      <c r="C197" s="1"/>
      <c r="D197" s="28"/>
      <c r="E197" s="28"/>
      <c r="F197" s="28"/>
      <c r="G197" s="1"/>
      <c r="H197" s="1"/>
      <c r="I197" s="28"/>
      <c r="J197" s="1"/>
      <c r="K197" s="28"/>
      <c r="L197" s="1"/>
      <c r="M197" s="1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9"/>
      <c r="BN197" s="29"/>
    </row>
    <row r="198" spans="1:66" ht="21" customHeight="1">
      <c r="A198" s="26"/>
      <c r="B198" s="27"/>
      <c r="C198" s="1"/>
      <c r="D198" s="28"/>
      <c r="E198" s="28"/>
      <c r="F198" s="28"/>
      <c r="G198" s="1"/>
      <c r="H198" s="1"/>
      <c r="I198" s="28"/>
      <c r="J198" s="1"/>
      <c r="K198" s="28"/>
      <c r="L198" s="1"/>
      <c r="M198" s="1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9"/>
      <c r="BN198" s="29"/>
    </row>
    <row r="199" spans="1:66" ht="21" customHeight="1">
      <c r="A199" s="26"/>
      <c r="B199" s="27"/>
      <c r="C199" s="1"/>
      <c r="D199" s="28"/>
      <c r="E199" s="28"/>
      <c r="F199" s="28"/>
      <c r="G199" s="1"/>
      <c r="H199" s="1"/>
      <c r="I199" s="28"/>
      <c r="J199" s="1"/>
      <c r="K199" s="28"/>
      <c r="L199" s="1"/>
      <c r="M199" s="1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9"/>
      <c r="BN199" s="29"/>
    </row>
    <row r="200" spans="1:66" ht="21" customHeight="1">
      <c r="A200" s="26"/>
      <c r="B200" s="27"/>
      <c r="C200" s="1"/>
      <c r="D200" s="28"/>
      <c r="E200" s="28"/>
      <c r="F200" s="28"/>
      <c r="G200" s="1"/>
      <c r="H200" s="1"/>
      <c r="I200" s="28"/>
      <c r="J200" s="1"/>
      <c r="K200" s="28"/>
      <c r="L200" s="1"/>
      <c r="M200" s="1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9"/>
      <c r="BN200" s="29"/>
    </row>
    <row r="201" spans="1:66" ht="21" customHeight="1">
      <c r="A201" s="26"/>
      <c r="B201" s="27"/>
      <c r="C201" s="1"/>
      <c r="D201" s="28"/>
      <c r="E201" s="28"/>
      <c r="F201" s="28"/>
      <c r="G201" s="1"/>
      <c r="H201" s="1"/>
      <c r="I201" s="28"/>
      <c r="J201" s="1"/>
      <c r="K201" s="28"/>
      <c r="L201" s="1"/>
      <c r="M201" s="1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9"/>
      <c r="BN201" s="29"/>
    </row>
    <row r="202" spans="1:66" ht="21" customHeight="1">
      <c r="A202" s="26"/>
      <c r="B202" s="27"/>
      <c r="C202" s="1"/>
      <c r="D202" s="28"/>
      <c r="E202" s="28"/>
      <c r="F202" s="28"/>
      <c r="G202" s="1"/>
      <c r="H202" s="1"/>
      <c r="I202" s="28"/>
      <c r="J202" s="1"/>
      <c r="K202" s="28"/>
      <c r="L202" s="1"/>
      <c r="M202" s="1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9"/>
      <c r="BN202" s="29"/>
    </row>
    <row r="203" spans="1:66" ht="21" customHeight="1">
      <c r="A203" s="26"/>
      <c r="B203" s="27"/>
      <c r="C203" s="1"/>
      <c r="D203" s="28"/>
      <c r="E203" s="28"/>
      <c r="F203" s="28"/>
      <c r="G203" s="1"/>
      <c r="H203" s="1"/>
      <c r="I203" s="28"/>
      <c r="J203" s="1"/>
      <c r="K203" s="28"/>
      <c r="L203" s="1"/>
      <c r="M203" s="1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9"/>
      <c r="BN203" s="29"/>
    </row>
    <row r="204" spans="1:66" ht="21" customHeight="1">
      <c r="A204" s="26"/>
      <c r="B204" s="27"/>
      <c r="C204" s="1"/>
      <c r="D204" s="28"/>
      <c r="E204" s="28"/>
      <c r="F204" s="28"/>
      <c r="G204" s="1"/>
      <c r="H204" s="1"/>
      <c r="I204" s="28"/>
      <c r="J204" s="1"/>
      <c r="K204" s="28"/>
      <c r="L204" s="1"/>
      <c r="M204" s="1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9"/>
      <c r="BN204" s="29"/>
    </row>
    <row r="205" spans="1:66" ht="21" customHeight="1">
      <c r="A205" s="26"/>
      <c r="B205" s="27"/>
      <c r="C205" s="1"/>
      <c r="D205" s="28"/>
      <c r="E205" s="28"/>
      <c r="F205" s="28"/>
      <c r="G205" s="1"/>
      <c r="H205" s="1"/>
      <c r="I205" s="28"/>
      <c r="J205" s="1"/>
      <c r="K205" s="28"/>
      <c r="L205" s="1"/>
      <c r="M205" s="1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9"/>
      <c r="BN205" s="29"/>
    </row>
    <row r="206" spans="1:66" ht="21" customHeight="1">
      <c r="A206" s="26"/>
      <c r="B206" s="27"/>
      <c r="C206" s="1"/>
      <c r="D206" s="28"/>
      <c r="E206" s="28"/>
      <c r="F206" s="28"/>
      <c r="G206" s="1"/>
      <c r="H206" s="1"/>
      <c r="I206" s="28"/>
      <c r="J206" s="1"/>
      <c r="K206" s="28"/>
      <c r="L206" s="1"/>
      <c r="M206" s="1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9"/>
      <c r="BN206" s="29"/>
    </row>
    <row r="207" spans="1:66" ht="21" customHeight="1">
      <c r="A207" s="26"/>
      <c r="B207" s="27"/>
      <c r="C207" s="1"/>
      <c r="D207" s="28"/>
      <c r="E207" s="28"/>
      <c r="F207" s="28"/>
      <c r="G207" s="1"/>
      <c r="H207" s="1"/>
      <c r="I207" s="28"/>
      <c r="J207" s="1"/>
      <c r="K207" s="28"/>
      <c r="L207" s="1"/>
      <c r="M207" s="1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9"/>
      <c r="BN207" s="29"/>
    </row>
    <row r="208" spans="1:66" ht="21" customHeight="1">
      <c r="A208" s="26"/>
      <c r="B208" s="27"/>
      <c r="C208" s="1"/>
      <c r="D208" s="28"/>
      <c r="E208" s="28"/>
      <c r="F208" s="28"/>
      <c r="G208" s="1"/>
      <c r="H208" s="1"/>
      <c r="I208" s="28"/>
      <c r="J208" s="1"/>
      <c r="K208" s="28"/>
      <c r="L208" s="1"/>
      <c r="M208" s="1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9"/>
      <c r="BN208" s="29"/>
    </row>
    <row r="209" spans="1:66" ht="21" customHeight="1">
      <c r="A209" s="26"/>
      <c r="B209" s="27"/>
      <c r="C209" s="1"/>
      <c r="D209" s="28"/>
      <c r="E209" s="28"/>
      <c r="F209" s="28"/>
      <c r="G209" s="1"/>
      <c r="H209" s="1"/>
      <c r="I209" s="28"/>
      <c r="J209" s="1"/>
      <c r="K209" s="28"/>
      <c r="L209" s="1"/>
      <c r="M209" s="1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9"/>
      <c r="BN209" s="29"/>
    </row>
    <row r="210" spans="1:66" ht="21" customHeight="1">
      <c r="A210" s="26"/>
      <c r="B210" s="27"/>
      <c r="C210" s="1"/>
      <c r="D210" s="28"/>
      <c r="E210" s="28"/>
      <c r="F210" s="28"/>
      <c r="G210" s="1"/>
      <c r="H210" s="1"/>
      <c r="I210" s="28"/>
      <c r="J210" s="1"/>
      <c r="K210" s="28"/>
      <c r="L210" s="1"/>
      <c r="M210" s="1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9"/>
      <c r="BN210" s="29"/>
    </row>
    <row r="211" spans="1:66" ht="21" customHeight="1">
      <c r="A211" s="26"/>
      <c r="B211" s="27"/>
      <c r="C211" s="1"/>
      <c r="D211" s="28"/>
      <c r="E211" s="28"/>
      <c r="F211" s="28"/>
      <c r="G211" s="1"/>
      <c r="H211" s="1"/>
      <c r="I211" s="28"/>
      <c r="J211" s="1"/>
      <c r="K211" s="28"/>
      <c r="L211" s="1"/>
      <c r="M211" s="1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9"/>
      <c r="BN211" s="29"/>
    </row>
    <row r="212" spans="1:66" ht="21" customHeight="1">
      <c r="A212" s="26"/>
      <c r="B212" s="27"/>
      <c r="C212" s="1"/>
      <c r="D212" s="28"/>
      <c r="E212" s="28"/>
      <c r="F212" s="28"/>
      <c r="G212" s="1"/>
      <c r="H212" s="1"/>
      <c r="I212" s="28"/>
      <c r="J212" s="1"/>
      <c r="K212" s="28"/>
      <c r="L212" s="1"/>
      <c r="M212" s="1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9"/>
      <c r="BN212" s="29"/>
    </row>
    <row r="213" spans="1:66" ht="21" customHeight="1">
      <c r="A213" s="26"/>
      <c r="B213" s="27"/>
      <c r="C213" s="1"/>
      <c r="D213" s="28"/>
      <c r="E213" s="28"/>
      <c r="F213" s="28"/>
      <c r="G213" s="1"/>
      <c r="H213" s="1"/>
      <c r="I213" s="28"/>
      <c r="J213" s="1"/>
      <c r="K213" s="28"/>
      <c r="L213" s="1"/>
      <c r="M213" s="1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9"/>
      <c r="BN213" s="29"/>
    </row>
    <row r="214" spans="1:66" ht="21" customHeight="1">
      <c r="A214" s="26"/>
      <c r="B214" s="27"/>
      <c r="C214" s="1"/>
      <c r="D214" s="28"/>
      <c r="E214" s="28"/>
      <c r="F214" s="28"/>
      <c r="G214" s="1"/>
      <c r="H214" s="1"/>
      <c r="I214" s="28"/>
      <c r="J214" s="1"/>
      <c r="K214" s="28"/>
      <c r="L214" s="1"/>
      <c r="M214" s="1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9"/>
      <c r="BN214" s="29"/>
    </row>
    <row r="215" spans="1:66" ht="21" customHeight="1">
      <c r="A215" s="26"/>
      <c r="B215" s="27"/>
      <c r="C215" s="1"/>
      <c r="D215" s="28"/>
      <c r="E215" s="28"/>
      <c r="F215" s="28"/>
      <c r="G215" s="1"/>
      <c r="H215" s="1"/>
      <c r="I215" s="28"/>
      <c r="J215" s="1"/>
      <c r="K215" s="28"/>
      <c r="L215" s="1"/>
      <c r="M215" s="1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9"/>
      <c r="BN215" s="29"/>
    </row>
    <row r="216" spans="1:66" ht="21" customHeight="1">
      <c r="A216" s="26"/>
      <c r="B216" s="27"/>
      <c r="C216" s="1"/>
      <c r="D216" s="28"/>
      <c r="E216" s="28"/>
      <c r="F216" s="28"/>
      <c r="G216" s="1"/>
      <c r="H216" s="1"/>
      <c r="I216" s="28"/>
      <c r="J216" s="1"/>
      <c r="K216" s="28"/>
      <c r="L216" s="1"/>
      <c r="M216" s="1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9"/>
      <c r="BN216" s="29"/>
    </row>
    <row r="217" spans="1:66" ht="21" customHeight="1">
      <c r="A217" s="26"/>
      <c r="B217" s="27"/>
      <c r="C217" s="1"/>
      <c r="D217" s="28"/>
      <c r="E217" s="28"/>
      <c r="F217" s="28"/>
      <c r="G217" s="1"/>
      <c r="H217" s="1"/>
      <c r="I217" s="28"/>
      <c r="J217" s="1"/>
      <c r="K217" s="28"/>
      <c r="L217" s="1"/>
      <c r="M217" s="1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9"/>
      <c r="BN217" s="29"/>
    </row>
    <row r="218" spans="1:66" ht="21" customHeight="1">
      <c r="A218" s="26"/>
      <c r="B218" s="27"/>
      <c r="C218" s="1"/>
      <c r="D218" s="28"/>
      <c r="E218" s="28"/>
      <c r="F218" s="28"/>
      <c r="G218" s="1"/>
      <c r="H218" s="1"/>
      <c r="I218" s="28"/>
      <c r="J218" s="1"/>
      <c r="K218" s="28"/>
      <c r="L218" s="1"/>
      <c r="M218" s="1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9"/>
      <c r="BN218" s="29"/>
    </row>
    <row r="219" spans="1:66" ht="21" customHeight="1">
      <c r="A219" s="26"/>
      <c r="B219" s="27"/>
      <c r="C219" s="1"/>
      <c r="D219" s="28"/>
      <c r="E219" s="28"/>
      <c r="F219" s="28"/>
      <c r="G219" s="1"/>
      <c r="H219" s="1"/>
      <c r="I219" s="28"/>
      <c r="J219" s="1"/>
      <c r="K219" s="28"/>
      <c r="L219" s="1"/>
      <c r="M219" s="1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9"/>
      <c r="BN219" s="29"/>
    </row>
    <row r="220" spans="1:66" ht="21" customHeight="1">
      <c r="A220" s="26"/>
      <c r="B220" s="27"/>
      <c r="C220" s="1"/>
      <c r="D220" s="28"/>
      <c r="E220" s="28"/>
      <c r="F220" s="28"/>
      <c r="G220" s="1"/>
      <c r="H220" s="1"/>
      <c r="I220" s="28"/>
      <c r="J220" s="1"/>
      <c r="K220" s="28"/>
      <c r="L220" s="1"/>
      <c r="M220" s="1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9"/>
      <c r="BN220" s="29"/>
    </row>
    <row r="221" spans="1:66" ht="21" customHeight="1">
      <c r="A221" s="26"/>
      <c r="B221" s="27"/>
      <c r="C221" s="1"/>
      <c r="D221" s="28"/>
      <c r="E221" s="28"/>
      <c r="F221" s="28"/>
      <c r="G221" s="1"/>
      <c r="H221" s="1"/>
      <c r="I221" s="28"/>
      <c r="J221" s="1"/>
      <c r="K221" s="28"/>
      <c r="L221" s="1"/>
      <c r="M221" s="1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9"/>
      <c r="BN221" s="29"/>
    </row>
    <row r="222" spans="1:66" ht="21" customHeight="1">
      <c r="A222" s="26"/>
      <c r="B222" s="27"/>
      <c r="C222" s="1"/>
      <c r="D222" s="28"/>
      <c r="E222" s="28"/>
      <c r="F222" s="28"/>
      <c r="G222" s="1"/>
      <c r="H222" s="1"/>
      <c r="I222" s="28"/>
      <c r="J222" s="1"/>
      <c r="K222" s="28"/>
      <c r="L222" s="1"/>
      <c r="M222" s="1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9"/>
      <c r="BN222" s="29"/>
    </row>
    <row r="223" spans="1:66" ht="21" customHeight="1">
      <c r="A223" s="26"/>
      <c r="B223" s="27"/>
      <c r="C223" s="1"/>
      <c r="D223" s="28"/>
      <c r="E223" s="28"/>
      <c r="F223" s="28"/>
      <c r="G223" s="1"/>
      <c r="H223" s="1"/>
      <c r="I223" s="28"/>
      <c r="J223" s="1"/>
      <c r="K223" s="28"/>
      <c r="L223" s="1"/>
      <c r="M223" s="1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9"/>
      <c r="BN223" s="29"/>
    </row>
    <row r="224" spans="1:66" ht="21" customHeight="1">
      <c r="A224" s="26"/>
      <c r="B224" s="27"/>
      <c r="C224" s="1"/>
      <c r="D224" s="28"/>
      <c r="E224" s="28"/>
      <c r="F224" s="28"/>
      <c r="G224" s="1"/>
      <c r="H224" s="1"/>
      <c r="I224" s="28"/>
      <c r="J224" s="1"/>
      <c r="K224" s="28"/>
      <c r="L224" s="1"/>
      <c r="M224" s="1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9"/>
      <c r="BN224" s="29"/>
    </row>
    <row r="225" spans="1:66" ht="21" customHeight="1">
      <c r="A225" s="26"/>
      <c r="B225" s="27"/>
      <c r="C225" s="1"/>
      <c r="D225" s="28"/>
      <c r="E225" s="28"/>
      <c r="F225" s="28"/>
      <c r="G225" s="1"/>
      <c r="H225" s="1"/>
      <c r="I225" s="28"/>
      <c r="J225" s="1"/>
      <c r="K225" s="28"/>
      <c r="L225" s="1"/>
      <c r="M225" s="1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9"/>
      <c r="BN225" s="29"/>
    </row>
    <row r="226" spans="1:66" ht="21" customHeight="1">
      <c r="A226" s="26"/>
      <c r="B226" s="27"/>
      <c r="C226" s="1"/>
      <c r="D226" s="28"/>
      <c r="E226" s="28"/>
      <c r="F226" s="28"/>
      <c r="G226" s="1"/>
      <c r="H226" s="1"/>
      <c r="I226" s="28"/>
      <c r="J226" s="1"/>
      <c r="K226" s="28"/>
      <c r="L226" s="1"/>
      <c r="M226" s="1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9"/>
      <c r="BN226" s="29"/>
    </row>
    <row r="227" spans="1:66" ht="21" customHeight="1">
      <c r="A227" s="26"/>
      <c r="B227" s="27"/>
      <c r="C227" s="1"/>
      <c r="D227" s="28"/>
      <c r="E227" s="28"/>
      <c r="F227" s="28"/>
      <c r="G227" s="1"/>
      <c r="H227" s="1"/>
      <c r="I227" s="28"/>
      <c r="J227" s="1"/>
      <c r="K227" s="28"/>
      <c r="L227" s="1"/>
      <c r="M227" s="1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9"/>
      <c r="BN227" s="29"/>
    </row>
    <row r="228" spans="1:66" ht="21" customHeight="1">
      <c r="A228" s="26"/>
      <c r="B228" s="27"/>
      <c r="C228" s="1"/>
      <c r="D228" s="28"/>
      <c r="E228" s="28"/>
      <c r="F228" s="28"/>
      <c r="G228" s="1"/>
      <c r="H228" s="1"/>
      <c r="I228" s="28"/>
      <c r="J228" s="1"/>
      <c r="K228" s="28"/>
      <c r="L228" s="1"/>
      <c r="M228" s="1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9"/>
      <c r="BN228" s="29"/>
    </row>
    <row r="229" spans="1:66" ht="21" customHeight="1">
      <c r="A229" s="26"/>
      <c r="B229" s="27"/>
      <c r="C229" s="1"/>
      <c r="D229" s="28"/>
      <c r="E229" s="28"/>
      <c r="F229" s="28"/>
      <c r="G229" s="1"/>
      <c r="H229" s="1"/>
      <c r="I229" s="28"/>
      <c r="J229" s="1"/>
      <c r="K229" s="28"/>
      <c r="L229" s="1"/>
      <c r="M229" s="1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9"/>
      <c r="BN229" s="29"/>
    </row>
    <row r="230" spans="1:66" ht="21" customHeight="1">
      <c r="A230" s="26"/>
      <c r="B230" s="27"/>
      <c r="C230" s="1"/>
      <c r="D230" s="28"/>
      <c r="E230" s="28"/>
      <c r="F230" s="28"/>
      <c r="G230" s="1"/>
      <c r="H230" s="1"/>
      <c r="I230" s="28"/>
      <c r="J230" s="1"/>
      <c r="K230" s="28"/>
      <c r="L230" s="1"/>
      <c r="M230" s="1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9"/>
      <c r="BN230" s="29"/>
    </row>
    <row r="231" spans="1:66" ht="21" customHeight="1">
      <c r="A231" s="26"/>
      <c r="B231" s="27"/>
      <c r="C231" s="1"/>
      <c r="D231" s="28"/>
      <c r="E231" s="28"/>
      <c r="F231" s="28"/>
      <c r="G231" s="1"/>
      <c r="H231" s="1"/>
      <c r="I231" s="28"/>
      <c r="J231" s="1"/>
      <c r="K231" s="28"/>
      <c r="L231" s="1"/>
      <c r="M231" s="1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9"/>
      <c r="BN231" s="29"/>
    </row>
    <row r="232" spans="1:66" ht="21" customHeight="1">
      <c r="A232" s="26"/>
      <c r="B232" s="27"/>
      <c r="C232" s="1"/>
      <c r="D232" s="28"/>
      <c r="E232" s="28"/>
      <c r="F232" s="28"/>
      <c r="G232" s="1"/>
      <c r="H232" s="1"/>
      <c r="I232" s="28"/>
      <c r="J232" s="1"/>
      <c r="K232" s="28"/>
      <c r="L232" s="1"/>
      <c r="M232" s="1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9"/>
      <c r="BN232" s="29"/>
    </row>
    <row r="233" spans="1:66" ht="21" customHeight="1">
      <c r="A233" s="26"/>
      <c r="B233" s="27"/>
      <c r="C233" s="1"/>
      <c r="D233" s="28"/>
      <c r="E233" s="28"/>
      <c r="F233" s="28"/>
      <c r="G233" s="1"/>
      <c r="H233" s="1"/>
      <c r="I233" s="28"/>
      <c r="J233" s="1"/>
      <c r="K233" s="28"/>
      <c r="L233" s="1"/>
      <c r="M233" s="1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9"/>
      <c r="BN233" s="29"/>
    </row>
    <row r="234" spans="1:66" ht="21" customHeight="1">
      <c r="A234" s="26"/>
      <c r="B234" s="27"/>
      <c r="C234" s="1"/>
      <c r="D234" s="28"/>
      <c r="E234" s="28"/>
      <c r="F234" s="28"/>
      <c r="G234" s="1"/>
      <c r="H234" s="1"/>
      <c r="I234" s="28"/>
      <c r="J234" s="1"/>
      <c r="K234" s="28"/>
      <c r="L234" s="1"/>
      <c r="M234" s="1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9"/>
      <c r="BN234" s="29"/>
    </row>
    <row r="235" spans="1:66" ht="21" customHeight="1">
      <c r="A235" s="26"/>
      <c r="B235" s="27"/>
      <c r="C235" s="1"/>
      <c r="D235" s="28"/>
      <c r="E235" s="28"/>
      <c r="F235" s="28"/>
      <c r="G235" s="1"/>
      <c r="H235" s="1"/>
      <c r="I235" s="28"/>
      <c r="J235" s="1"/>
      <c r="K235" s="28"/>
      <c r="L235" s="1"/>
      <c r="M235" s="1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9"/>
      <c r="BN235" s="29"/>
    </row>
    <row r="236" spans="1:66" ht="21" customHeight="1">
      <c r="A236" s="26"/>
      <c r="B236" s="27"/>
      <c r="C236" s="1"/>
      <c r="D236" s="28"/>
      <c r="E236" s="28"/>
      <c r="F236" s="28"/>
      <c r="G236" s="1"/>
      <c r="H236" s="1"/>
      <c r="I236" s="28"/>
      <c r="J236" s="1"/>
      <c r="K236" s="28"/>
      <c r="L236" s="1"/>
      <c r="M236" s="1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9"/>
      <c r="BN236" s="29"/>
    </row>
    <row r="237" spans="1:66" ht="21" customHeight="1">
      <c r="A237" s="26"/>
      <c r="B237" s="27"/>
      <c r="C237" s="1"/>
      <c r="D237" s="28"/>
      <c r="E237" s="28"/>
      <c r="F237" s="28"/>
      <c r="G237" s="1"/>
      <c r="H237" s="1"/>
      <c r="I237" s="28"/>
      <c r="J237" s="1"/>
      <c r="K237" s="28"/>
      <c r="L237" s="1"/>
      <c r="M237" s="1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9"/>
      <c r="BN237" s="29"/>
    </row>
    <row r="238" spans="1:66" ht="21" customHeight="1">
      <c r="A238" s="26"/>
      <c r="B238" s="27"/>
      <c r="C238" s="1"/>
      <c r="D238" s="28"/>
      <c r="E238" s="28"/>
      <c r="F238" s="28"/>
      <c r="G238" s="1"/>
      <c r="H238" s="1"/>
      <c r="I238" s="28"/>
      <c r="J238" s="1"/>
      <c r="K238" s="28"/>
      <c r="L238" s="1"/>
      <c r="M238" s="1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9"/>
      <c r="BN238" s="29"/>
    </row>
    <row r="239" spans="1:66" ht="21" customHeight="1">
      <c r="A239" s="26"/>
      <c r="B239" s="27"/>
      <c r="C239" s="1"/>
      <c r="D239" s="28"/>
      <c r="E239" s="28"/>
      <c r="F239" s="28"/>
      <c r="G239" s="1"/>
      <c r="H239" s="1"/>
      <c r="I239" s="28"/>
      <c r="J239" s="1"/>
      <c r="K239" s="28"/>
      <c r="L239" s="1"/>
      <c r="M239" s="1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9"/>
      <c r="BN239" s="29"/>
    </row>
    <row r="240" spans="1:66" ht="21" customHeight="1">
      <c r="A240" s="26"/>
      <c r="B240" s="27"/>
      <c r="C240" s="1"/>
      <c r="D240" s="28"/>
      <c r="E240" s="28"/>
      <c r="F240" s="28"/>
      <c r="G240" s="1"/>
      <c r="H240" s="1"/>
      <c r="I240" s="28"/>
      <c r="J240" s="1"/>
      <c r="K240" s="28"/>
      <c r="L240" s="1"/>
      <c r="M240" s="1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9"/>
      <c r="BN240" s="29"/>
    </row>
    <row r="241" spans="1:66" ht="21" customHeight="1">
      <c r="A241" s="26"/>
      <c r="B241" s="27"/>
      <c r="C241" s="1"/>
      <c r="D241" s="28"/>
      <c r="E241" s="28"/>
      <c r="F241" s="28"/>
      <c r="G241" s="1"/>
      <c r="H241" s="1"/>
      <c r="I241" s="28"/>
      <c r="J241" s="1"/>
      <c r="K241" s="28"/>
      <c r="L241" s="1"/>
      <c r="M241" s="1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9"/>
      <c r="BN241" s="29"/>
    </row>
    <row r="242" spans="1:66" ht="21" customHeight="1">
      <c r="A242" s="26"/>
      <c r="B242" s="27"/>
      <c r="C242" s="1"/>
      <c r="D242" s="28"/>
      <c r="E242" s="28"/>
      <c r="F242" s="28"/>
      <c r="G242" s="1"/>
      <c r="H242" s="1"/>
      <c r="I242" s="28"/>
      <c r="J242" s="1"/>
      <c r="K242" s="28"/>
      <c r="L242" s="1"/>
      <c r="M242" s="1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9"/>
      <c r="BN242" s="29"/>
    </row>
    <row r="243" spans="1:66" ht="21" customHeight="1">
      <c r="A243" s="26"/>
      <c r="B243" s="27"/>
      <c r="C243" s="1"/>
      <c r="D243" s="28"/>
      <c r="E243" s="28"/>
      <c r="F243" s="28"/>
      <c r="G243" s="1"/>
      <c r="H243" s="1"/>
      <c r="I243" s="28"/>
      <c r="J243" s="1"/>
      <c r="K243" s="28"/>
      <c r="L243" s="1"/>
      <c r="M243" s="1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9"/>
      <c r="BN243" s="29"/>
    </row>
    <row r="244" spans="1:66" ht="21" customHeight="1">
      <c r="A244" s="26"/>
      <c r="B244" s="27"/>
      <c r="C244" s="1"/>
      <c r="D244" s="28"/>
      <c r="E244" s="28"/>
      <c r="F244" s="28"/>
      <c r="G244" s="1"/>
      <c r="H244" s="1"/>
      <c r="I244" s="28"/>
      <c r="J244" s="1"/>
      <c r="K244" s="28"/>
      <c r="L244" s="1"/>
      <c r="M244" s="1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9"/>
      <c r="BN244" s="29"/>
    </row>
    <row r="245" spans="1:66" ht="21" customHeight="1">
      <c r="A245" s="26"/>
      <c r="B245" s="27"/>
      <c r="C245" s="1"/>
      <c r="D245" s="28"/>
      <c r="E245" s="28"/>
      <c r="F245" s="28"/>
      <c r="G245" s="1"/>
      <c r="H245" s="1"/>
      <c r="I245" s="28"/>
      <c r="J245" s="1"/>
      <c r="K245" s="28"/>
      <c r="L245" s="1"/>
      <c r="M245" s="1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9"/>
      <c r="BN245" s="29"/>
    </row>
    <row r="246" spans="1:66" ht="21" customHeight="1">
      <c r="A246" s="26"/>
      <c r="B246" s="27"/>
      <c r="C246" s="1"/>
      <c r="D246" s="28"/>
      <c r="E246" s="28"/>
      <c r="F246" s="28"/>
      <c r="G246" s="1"/>
      <c r="H246" s="1"/>
      <c r="I246" s="28"/>
      <c r="J246" s="1"/>
      <c r="K246" s="28"/>
      <c r="L246" s="1"/>
      <c r="M246" s="1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9"/>
      <c r="BN246" s="29"/>
    </row>
    <row r="247" spans="1:66" ht="21" customHeight="1">
      <c r="A247" s="26"/>
      <c r="B247" s="27"/>
      <c r="C247" s="1"/>
      <c r="D247" s="28"/>
      <c r="E247" s="28"/>
      <c r="F247" s="28"/>
      <c r="G247" s="1"/>
      <c r="H247" s="1"/>
      <c r="I247" s="28"/>
      <c r="J247" s="1"/>
      <c r="K247" s="28"/>
      <c r="L247" s="1"/>
      <c r="M247" s="1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9"/>
      <c r="BN247" s="29"/>
    </row>
    <row r="248" spans="1:66" ht="21" customHeight="1">
      <c r="A248" s="26"/>
      <c r="B248" s="27"/>
      <c r="C248" s="1"/>
      <c r="D248" s="28"/>
      <c r="E248" s="28"/>
      <c r="F248" s="28"/>
      <c r="G248" s="1"/>
      <c r="H248" s="1"/>
      <c r="I248" s="28"/>
      <c r="J248" s="1"/>
      <c r="K248" s="28"/>
      <c r="L248" s="1"/>
      <c r="M248" s="1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9"/>
      <c r="BN248" s="29"/>
    </row>
    <row r="249" spans="1:66" ht="21" customHeight="1">
      <c r="A249" s="26"/>
      <c r="B249" s="27"/>
      <c r="C249" s="1"/>
      <c r="D249" s="28"/>
      <c r="E249" s="28"/>
      <c r="F249" s="28"/>
      <c r="G249" s="1"/>
      <c r="H249" s="1"/>
      <c r="I249" s="28"/>
      <c r="J249" s="1"/>
      <c r="K249" s="28"/>
      <c r="L249" s="1"/>
      <c r="M249" s="1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9"/>
      <c r="BN249" s="29"/>
    </row>
    <row r="250" spans="1:66" ht="21" customHeight="1">
      <c r="A250" s="26"/>
      <c r="B250" s="27"/>
      <c r="C250" s="1"/>
      <c r="D250" s="28"/>
      <c r="E250" s="28"/>
      <c r="F250" s="28"/>
      <c r="G250" s="1"/>
      <c r="H250" s="1"/>
      <c r="I250" s="28"/>
      <c r="J250" s="1"/>
      <c r="K250" s="28"/>
      <c r="L250" s="1"/>
      <c r="M250" s="1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9"/>
      <c r="BN250" s="29"/>
    </row>
    <row r="251" spans="1:66" ht="21" customHeight="1">
      <c r="A251" s="26"/>
      <c r="B251" s="27"/>
      <c r="C251" s="1"/>
      <c r="D251" s="28"/>
      <c r="E251" s="28"/>
      <c r="F251" s="28"/>
      <c r="G251" s="1"/>
      <c r="H251" s="1"/>
      <c r="I251" s="28"/>
      <c r="J251" s="1"/>
      <c r="K251" s="28"/>
      <c r="L251" s="1"/>
      <c r="M251" s="1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9"/>
      <c r="BN251" s="29"/>
    </row>
    <row r="252" spans="1:66" ht="21" customHeight="1">
      <c r="A252" s="26"/>
      <c r="B252" s="27"/>
      <c r="C252" s="1"/>
      <c r="D252" s="28"/>
      <c r="E252" s="28"/>
      <c r="F252" s="28"/>
      <c r="G252" s="1"/>
      <c r="H252" s="1"/>
      <c r="I252" s="28"/>
      <c r="J252" s="1"/>
      <c r="K252" s="28"/>
      <c r="L252" s="1"/>
      <c r="M252" s="1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9"/>
      <c r="BN252" s="29"/>
    </row>
    <row r="253" spans="1:66" ht="21" customHeight="1">
      <c r="A253" s="26"/>
      <c r="B253" s="27"/>
      <c r="C253" s="1"/>
      <c r="D253" s="28"/>
      <c r="E253" s="28"/>
      <c r="F253" s="28"/>
      <c r="G253" s="1"/>
      <c r="H253" s="1"/>
      <c r="I253" s="28"/>
      <c r="J253" s="1"/>
      <c r="K253" s="28"/>
      <c r="L253" s="1"/>
      <c r="M253" s="1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9"/>
      <c r="BN253" s="29"/>
    </row>
    <row r="254" spans="1:66" ht="21" customHeight="1">
      <c r="A254" s="26"/>
      <c r="B254" s="27"/>
      <c r="C254" s="1"/>
      <c r="D254" s="28"/>
      <c r="E254" s="28"/>
      <c r="F254" s="28"/>
      <c r="G254" s="1"/>
      <c r="H254" s="1"/>
      <c r="I254" s="28"/>
      <c r="J254" s="1"/>
      <c r="K254" s="28"/>
      <c r="L254" s="1"/>
      <c r="M254" s="1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9"/>
      <c r="BN254" s="29"/>
    </row>
    <row r="255" spans="1:66" ht="21" customHeight="1">
      <c r="A255" s="26"/>
      <c r="B255" s="27"/>
      <c r="C255" s="1"/>
      <c r="D255" s="28"/>
      <c r="E255" s="28"/>
      <c r="F255" s="28"/>
      <c r="G255" s="1"/>
      <c r="H255" s="1"/>
      <c r="I255" s="28"/>
      <c r="J255" s="1"/>
      <c r="K255" s="28"/>
      <c r="L255" s="1"/>
      <c r="M255" s="1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9"/>
      <c r="BN255" s="29"/>
    </row>
    <row r="256" spans="1:66" ht="21" customHeight="1">
      <c r="A256" s="26"/>
      <c r="B256" s="27"/>
      <c r="C256" s="1"/>
      <c r="D256" s="28"/>
      <c r="E256" s="28"/>
      <c r="F256" s="28"/>
      <c r="G256" s="1"/>
      <c r="H256" s="1"/>
      <c r="I256" s="28"/>
      <c r="J256" s="1"/>
      <c r="K256" s="28"/>
      <c r="L256" s="1"/>
      <c r="M256" s="1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9"/>
      <c r="BN256" s="29"/>
    </row>
    <row r="257" spans="1:66" ht="21" customHeight="1">
      <c r="A257" s="26"/>
      <c r="B257" s="27"/>
      <c r="C257" s="1"/>
      <c r="D257" s="28"/>
      <c r="E257" s="28"/>
      <c r="F257" s="28"/>
      <c r="G257" s="1"/>
      <c r="H257" s="1"/>
      <c r="I257" s="28"/>
      <c r="J257" s="1"/>
      <c r="K257" s="28"/>
      <c r="L257" s="1"/>
      <c r="M257" s="1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9"/>
      <c r="BN257" s="29"/>
    </row>
    <row r="258" spans="1:66" ht="21" customHeight="1">
      <c r="A258" s="26"/>
      <c r="B258" s="27"/>
      <c r="C258" s="1"/>
      <c r="D258" s="28"/>
      <c r="E258" s="28"/>
      <c r="F258" s="28"/>
      <c r="G258" s="1"/>
      <c r="H258" s="1"/>
      <c r="I258" s="28"/>
      <c r="J258" s="1"/>
      <c r="K258" s="28"/>
      <c r="L258" s="1"/>
      <c r="M258" s="1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9"/>
      <c r="BN258" s="29"/>
    </row>
    <row r="259" spans="1:66" ht="21" customHeight="1">
      <c r="A259" s="26"/>
      <c r="B259" s="27"/>
      <c r="C259" s="1"/>
      <c r="D259" s="28"/>
      <c r="E259" s="28"/>
      <c r="F259" s="28"/>
      <c r="G259" s="1"/>
      <c r="H259" s="1"/>
      <c r="I259" s="28"/>
      <c r="J259" s="1"/>
      <c r="K259" s="28"/>
      <c r="L259" s="1"/>
      <c r="M259" s="1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9"/>
      <c r="BN259" s="29"/>
    </row>
    <row r="260" spans="1:66" ht="21" customHeight="1">
      <c r="A260" s="26"/>
      <c r="B260" s="27"/>
      <c r="C260" s="1"/>
      <c r="D260" s="28"/>
      <c r="E260" s="28"/>
      <c r="F260" s="28"/>
      <c r="G260" s="1"/>
      <c r="H260" s="1"/>
      <c r="I260" s="28"/>
      <c r="J260" s="1"/>
      <c r="K260" s="28"/>
      <c r="L260" s="1"/>
      <c r="M260" s="1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9"/>
      <c r="BN260" s="29"/>
    </row>
    <row r="261" spans="1:66" ht="21" customHeight="1">
      <c r="A261" s="26"/>
      <c r="B261" s="27"/>
      <c r="C261" s="1"/>
      <c r="D261" s="28"/>
      <c r="E261" s="28"/>
      <c r="F261" s="28"/>
      <c r="G261" s="1"/>
      <c r="H261" s="1"/>
      <c r="I261" s="28"/>
      <c r="J261" s="1"/>
      <c r="K261" s="28"/>
      <c r="L261" s="1"/>
      <c r="M261" s="1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9"/>
      <c r="BN261" s="29"/>
    </row>
    <row r="262" spans="1:66" ht="21" customHeight="1">
      <c r="A262" s="26"/>
      <c r="B262" s="27"/>
      <c r="C262" s="1"/>
      <c r="D262" s="28"/>
      <c r="E262" s="28"/>
      <c r="F262" s="28"/>
      <c r="G262" s="1"/>
      <c r="H262" s="1"/>
      <c r="I262" s="28"/>
      <c r="J262" s="1"/>
      <c r="K262" s="28"/>
      <c r="L262" s="1"/>
      <c r="M262" s="1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9"/>
      <c r="BN262" s="29"/>
    </row>
    <row r="263" spans="1:66" ht="21" customHeight="1">
      <c r="A263" s="26"/>
      <c r="B263" s="27"/>
      <c r="C263" s="1"/>
      <c r="D263" s="28"/>
      <c r="E263" s="28"/>
      <c r="F263" s="28"/>
      <c r="G263" s="1"/>
      <c r="H263" s="1"/>
      <c r="I263" s="28"/>
      <c r="J263" s="1"/>
      <c r="K263" s="28"/>
      <c r="L263" s="1"/>
      <c r="M263" s="1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9"/>
      <c r="BN263" s="29"/>
    </row>
    <row r="264" spans="1:66" ht="21" customHeight="1">
      <c r="A264" s="26"/>
      <c r="B264" s="27"/>
      <c r="C264" s="1"/>
      <c r="D264" s="28"/>
      <c r="E264" s="28"/>
      <c r="F264" s="28"/>
      <c r="G264" s="1"/>
      <c r="H264" s="1"/>
      <c r="I264" s="28"/>
      <c r="J264" s="1"/>
      <c r="K264" s="28"/>
      <c r="L264" s="1"/>
      <c r="M264" s="1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9"/>
      <c r="BN264" s="29"/>
    </row>
    <row r="265" spans="1:66" ht="21" customHeight="1">
      <c r="A265" s="26"/>
      <c r="B265" s="27"/>
      <c r="C265" s="1"/>
      <c r="D265" s="28"/>
      <c r="E265" s="28"/>
      <c r="F265" s="28"/>
      <c r="G265" s="1"/>
      <c r="H265" s="1"/>
      <c r="I265" s="28"/>
      <c r="J265" s="1"/>
      <c r="K265" s="28"/>
      <c r="L265" s="1"/>
      <c r="M265" s="1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9"/>
      <c r="BN265" s="29"/>
    </row>
    <row r="266" spans="1:66" ht="21" customHeight="1">
      <c r="A266" s="26"/>
      <c r="B266" s="27"/>
      <c r="C266" s="1"/>
      <c r="D266" s="28"/>
      <c r="E266" s="28"/>
      <c r="F266" s="28"/>
      <c r="G266" s="1"/>
      <c r="H266" s="1"/>
      <c r="I266" s="28"/>
      <c r="J266" s="1"/>
      <c r="K266" s="28"/>
      <c r="L266" s="1"/>
      <c r="M266" s="1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9"/>
      <c r="BN266" s="29"/>
    </row>
    <row r="267" spans="1:66" ht="21" customHeight="1">
      <c r="A267" s="26"/>
      <c r="B267" s="27"/>
      <c r="C267" s="1"/>
      <c r="D267" s="28"/>
      <c r="E267" s="28"/>
      <c r="F267" s="28"/>
      <c r="G267" s="1"/>
      <c r="H267" s="1"/>
      <c r="I267" s="28"/>
      <c r="J267" s="1"/>
      <c r="K267" s="28"/>
      <c r="L267" s="1"/>
      <c r="M267" s="1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9"/>
      <c r="BN267" s="29"/>
    </row>
    <row r="268" spans="1:66" ht="21" customHeight="1">
      <c r="A268" s="26"/>
      <c r="B268" s="27"/>
      <c r="C268" s="1"/>
      <c r="D268" s="28"/>
      <c r="E268" s="28"/>
      <c r="F268" s="28"/>
      <c r="G268" s="1"/>
      <c r="H268" s="1"/>
      <c r="I268" s="28"/>
      <c r="J268" s="1"/>
      <c r="K268" s="28"/>
      <c r="L268" s="1"/>
      <c r="M268" s="1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9"/>
      <c r="BN268" s="29"/>
    </row>
    <row r="269" spans="1:66" ht="21" customHeight="1">
      <c r="A269" s="26"/>
      <c r="B269" s="27"/>
      <c r="C269" s="1"/>
      <c r="D269" s="28"/>
      <c r="E269" s="28"/>
      <c r="F269" s="28"/>
      <c r="G269" s="1"/>
      <c r="H269" s="1"/>
      <c r="I269" s="28"/>
      <c r="J269" s="1"/>
      <c r="K269" s="28"/>
      <c r="L269" s="1"/>
      <c r="M269" s="1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9"/>
      <c r="BN269" s="29"/>
    </row>
    <row r="270" spans="1:66" ht="21" customHeight="1">
      <c r="A270" s="26"/>
      <c r="B270" s="27"/>
      <c r="C270" s="1"/>
      <c r="D270" s="28"/>
      <c r="E270" s="28"/>
      <c r="F270" s="28"/>
      <c r="G270" s="1"/>
      <c r="H270" s="1"/>
      <c r="I270" s="28"/>
      <c r="J270" s="1"/>
      <c r="K270" s="28"/>
      <c r="L270" s="1"/>
      <c r="M270" s="1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9"/>
      <c r="BN270" s="29"/>
    </row>
    <row r="271" spans="1:66" ht="21" customHeight="1">
      <c r="A271" s="26"/>
      <c r="B271" s="27"/>
      <c r="C271" s="1"/>
      <c r="D271" s="28"/>
      <c r="E271" s="28"/>
      <c r="F271" s="28"/>
      <c r="G271" s="1"/>
      <c r="H271" s="1"/>
      <c r="I271" s="28"/>
      <c r="J271" s="1"/>
      <c r="K271" s="28"/>
      <c r="L271" s="1"/>
      <c r="M271" s="1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9"/>
      <c r="BN271" s="29"/>
    </row>
    <row r="272" spans="1:66" ht="21" customHeight="1">
      <c r="A272" s="26"/>
      <c r="B272" s="27"/>
      <c r="C272" s="1"/>
      <c r="D272" s="28"/>
      <c r="E272" s="28"/>
      <c r="F272" s="28"/>
      <c r="G272" s="1"/>
      <c r="H272" s="1"/>
      <c r="I272" s="28"/>
      <c r="J272" s="1"/>
      <c r="K272" s="28"/>
      <c r="L272" s="1"/>
      <c r="M272" s="1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9"/>
      <c r="BN272" s="29"/>
    </row>
    <row r="273" spans="1:66" ht="21" customHeight="1">
      <c r="A273" s="26"/>
      <c r="B273" s="27"/>
      <c r="C273" s="1"/>
      <c r="D273" s="28"/>
      <c r="E273" s="28"/>
      <c r="F273" s="28"/>
      <c r="G273" s="1"/>
      <c r="H273" s="1"/>
      <c r="I273" s="28"/>
      <c r="J273" s="1"/>
      <c r="K273" s="28"/>
      <c r="L273" s="1"/>
      <c r="M273" s="1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9"/>
      <c r="BN273" s="29"/>
    </row>
    <row r="274" spans="1:66" ht="21" customHeight="1">
      <c r="A274" s="26"/>
      <c r="B274" s="27"/>
      <c r="C274" s="1"/>
      <c r="D274" s="28"/>
      <c r="E274" s="28"/>
      <c r="F274" s="28"/>
      <c r="G274" s="1"/>
      <c r="H274" s="1"/>
      <c r="I274" s="28"/>
      <c r="J274" s="1"/>
      <c r="K274" s="28"/>
      <c r="L274" s="1"/>
      <c r="M274" s="1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9"/>
      <c r="BN274" s="29"/>
    </row>
    <row r="275" spans="1:66" ht="21" customHeight="1">
      <c r="A275" s="26"/>
      <c r="B275" s="27"/>
      <c r="C275" s="1"/>
      <c r="D275" s="28"/>
      <c r="E275" s="28"/>
      <c r="F275" s="28"/>
      <c r="G275" s="1"/>
      <c r="H275" s="1"/>
      <c r="I275" s="28"/>
      <c r="J275" s="1"/>
      <c r="K275" s="28"/>
      <c r="L275" s="1"/>
      <c r="M275" s="1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9"/>
      <c r="BN275" s="29"/>
    </row>
    <row r="276" spans="1:66" ht="21" customHeight="1">
      <c r="A276" s="26"/>
      <c r="B276" s="27"/>
      <c r="C276" s="1"/>
      <c r="D276" s="28"/>
      <c r="E276" s="28"/>
      <c r="F276" s="28"/>
      <c r="G276" s="1"/>
      <c r="H276" s="1"/>
      <c r="I276" s="28"/>
      <c r="J276" s="1"/>
      <c r="K276" s="28"/>
      <c r="L276" s="1"/>
      <c r="M276" s="1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9"/>
      <c r="BN276" s="29"/>
    </row>
    <row r="277" spans="1:66" ht="21" customHeight="1">
      <c r="A277" s="26"/>
      <c r="B277" s="27"/>
      <c r="C277" s="1"/>
      <c r="D277" s="28"/>
      <c r="E277" s="28"/>
      <c r="F277" s="28"/>
      <c r="G277" s="1"/>
      <c r="H277" s="1"/>
      <c r="I277" s="28"/>
      <c r="J277" s="1"/>
      <c r="K277" s="28"/>
      <c r="L277" s="1"/>
      <c r="M277" s="1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9"/>
      <c r="BN277" s="29"/>
    </row>
    <row r="278" spans="1:66" ht="21" customHeight="1">
      <c r="A278" s="26"/>
      <c r="B278" s="27"/>
      <c r="C278" s="1"/>
      <c r="D278" s="28"/>
      <c r="E278" s="28"/>
      <c r="F278" s="28"/>
      <c r="G278" s="1"/>
      <c r="H278" s="1"/>
      <c r="I278" s="28"/>
      <c r="J278" s="1"/>
      <c r="K278" s="28"/>
      <c r="L278" s="1"/>
      <c r="M278" s="1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9"/>
      <c r="BN278" s="29"/>
    </row>
    <row r="279" spans="1:66" ht="21" customHeight="1">
      <c r="A279" s="26"/>
      <c r="B279" s="27"/>
      <c r="C279" s="1"/>
      <c r="D279" s="28"/>
      <c r="E279" s="28"/>
      <c r="F279" s="28"/>
      <c r="G279" s="1"/>
      <c r="H279" s="1"/>
      <c r="I279" s="28"/>
      <c r="J279" s="1"/>
      <c r="K279" s="28"/>
      <c r="L279" s="1"/>
      <c r="M279" s="1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9"/>
      <c r="BN279" s="29"/>
    </row>
    <row r="280" spans="1:66" ht="21" customHeight="1">
      <c r="A280" s="26"/>
      <c r="B280" s="27"/>
      <c r="C280" s="1"/>
      <c r="D280" s="28"/>
      <c r="E280" s="28"/>
      <c r="F280" s="28"/>
      <c r="G280" s="1"/>
      <c r="H280" s="1"/>
      <c r="I280" s="28"/>
      <c r="J280" s="1"/>
      <c r="K280" s="28"/>
      <c r="L280" s="1"/>
      <c r="M280" s="1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9"/>
      <c r="BN280" s="29"/>
    </row>
    <row r="281" spans="1:66" ht="21" customHeight="1">
      <c r="A281" s="26"/>
      <c r="B281" s="27"/>
      <c r="C281" s="1"/>
      <c r="D281" s="28"/>
      <c r="E281" s="28"/>
      <c r="F281" s="28"/>
      <c r="G281" s="1"/>
      <c r="H281" s="1"/>
      <c r="I281" s="28"/>
      <c r="J281" s="1"/>
      <c r="K281" s="28"/>
      <c r="L281" s="1"/>
      <c r="M281" s="1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9"/>
      <c r="BN281" s="29"/>
    </row>
    <row r="282" spans="1:66" ht="21" customHeight="1">
      <c r="A282" s="26"/>
      <c r="B282" s="27"/>
      <c r="C282" s="1"/>
      <c r="D282" s="28"/>
      <c r="E282" s="28"/>
      <c r="F282" s="28"/>
      <c r="G282" s="1"/>
      <c r="H282" s="1"/>
      <c r="I282" s="28"/>
      <c r="J282" s="1"/>
      <c r="K282" s="28"/>
      <c r="L282" s="1"/>
      <c r="M282" s="1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9"/>
      <c r="BN282" s="29"/>
    </row>
    <row r="283" spans="1:66" ht="21" customHeight="1">
      <c r="A283" s="26"/>
      <c r="B283" s="27"/>
      <c r="C283" s="1"/>
      <c r="D283" s="28"/>
      <c r="E283" s="28"/>
      <c r="F283" s="28"/>
      <c r="G283" s="1"/>
      <c r="H283" s="1"/>
      <c r="I283" s="28"/>
      <c r="J283" s="1"/>
      <c r="K283" s="28"/>
      <c r="L283" s="1"/>
      <c r="M283" s="1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9"/>
      <c r="BN283" s="29"/>
    </row>
    <row r="284" spans="1:66" ht="21" customHeight="1">
      <c r="A284" s="26"/>
      <c r="B284" s="27"/>
      <c r="C284" s="1"/>
      <c r="D284" s="28"/>
      <c r="E284" s="28"/>
      <c r="F284" s="28"/>
      <c r="G284" s="1"/>
      <c r="H284" s="1"/>
      <c r="I284" s="28"/>
      <c r="J284" s="1"/>
      <c r="K284" s="28"/>
      <c r="L284" s="1"/>
      <c r="M284" s="1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9"/>
      <c r="BN284" s="29"/>
    </row>
    <row r="285" spans="1:66" ht="21" customHeight="1">
      <c r="A285" s="26"/>
      <c r="B285" s="27"/>
      <c r="C285" s="1"/>
      <c r="D285" s="28"/>
      <c r="E285" s="28"/>
      <c r="F285" s="28"/>
      <c r="G285" s="1"/>
      <c r="H285" s="1"/>
      <c r="I285" s="28"/>
      <c r="J285" s="1"/>
      <c r="K285" s="28"/>
      <c r="L285" s="1"/>
      <c r="M285" s="1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9"/>
      <c r="BN285" s="29"/>
    </row>
    <row r="286" spans="1:66" ht="21" customHeight="1">
      <c r="A286" s="26"/>
      <c r="B286" s="27"/>
      <c r="C286" s="1"/>
      <c r="D286" s="28"/>
      <c r="E286" s="28"/>
      <c r="F286" s="28"/>
      <c r="G286" s="1"/>
      <c r="H286" s="1"/>
      <c r="I286" s="28"/>
      <c r="J286" s="1"/>
      <c r="K286" s="28"/>
      <c r="L286" s="1"/>
      <c r="M286" s="1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9"/>
      <c r="BN286" s="29"/>
    </row>
    <row r="287" spans="1:66" ht="21" customHeight="1">
      <c r="A287" s="26"/>
      <c r="B287" s="27"/>
      <c r="C287" s="1"/>
      <c r="D287" s="28"/>
      <c r="E287" s="28"/>
      <c r="F287" s="28"/>
      <c r="G287" s="1"/>
      <c r="H287" s="1"/>
      <c r="I287" s="28"/>
      <c r="J287" s="1"/>
      <c r="K287" s="28"/>
      <c r="L287" s="1"/>
      <c r="M287" s="1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9"/>
      <c r="BN287" s="29"/>
    </row>
    <row r="288" spans="1:66" ht="21" customHeight="1">
      <c r="A288" s="26"/>
      <c r="B288" s="27"/>
      <c r="C288" s="1"/>
      <c r="D288" s="28"/>
      <c r="E288" s="28"/>
      <c r="F288" s="28"/>
      <c r="G288" s="1"/>
      <c r="H288" s="1"/>
      <c r="I288" s="28"/>
      <c r="J288" s="1"/>
      <c r="K288" s="28"/>
      <c r="L288" s="1"/>
      <c r="M288" s="1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9"/>
      <c r="BN288" s="29"/>
    </row>
    <row r="289" spans="1:66" ht="21" customHeight="1">
      <c r="A289" s="26"/>
      <c r="B289" s="27"/>
      <c r="C289" s="1"/>
      <c r="D289" s="28"/>
      <c r="E289" s="28"/>
      <c r="F289" s="28"/>
      <c r="G289" s="1"/>
      <c r="H289" s="1"/>
      <c r="I289" s="28"/>
      <c r="J289" s="1"/>
      <c r="K289" s="28"/>
      <c r="L289" s="1"/>
      <c r="M289" s="1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9"/>
      <c r="BN289" s="29"/>
    </row>
    <row r="290" spans="1:66" ht="21" customHeight="1">
      <c r="A290" s="26"/>
      <c r="B290" s="27"/>
      <c r="C290" s="1"/>
      <c r="D290" s="28"/>
      <c r="E290" s="28"/>
      <c r="F290" s="28"/>
      <c r="G290" s="1"/>
      <c r="H290" s="1"/>
      <c r="I290" s="28"/>
      <c r="J290" s="1"/>
      <c r="K290" s="28"/>
      <c r="L290" s="1"/>
      <c r="M290" s="1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9"/>
      <c r="BN290" s="29"/>
    </row>
    <row r="291" spans="1:66" ht="15.75" customHeight="1"/>
    <row r="292" spans="1:66" ht="15.75" customHeight="1"/>
    <row r="293" spans="1:66" ht="15.75" customHeight="1"/>
    <row r="294" spans="1:66" ht="15.75" customHeight="1"/>
    <row r="295" spans="1:66" ht="15.75" customHeight="1"/>
    <row r="296" spans="1:66" ht="15.75" customHeight="1"/>
    <row r="297" spans="1:66" ht="15.75" customHeight="1"/>
    <row r="298" spans="1:66" ht="15.75" customHeight="1"/>
    <row r="299" spans="1:66" ht="15.75" customHeight="1"/>
    <row r="300" spans="1:66" ht="15.75" customHeight="1"/>
    <row r="301" spans="1:66" ht="15.75" customHeight="1"/>
    <row r="302" spans="1:66" ht="15.75" customHeight="1"/>
    <row r="303" spans="1:66" ht="15.75" customHeight="1"/>
    <row r="304" spans="1:6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Q8:AT8"/>
    <mergeCell ref="AU8:AX8"/>
    <mergeCell ref="AY8:BB8"/>
    <mergeCell ref="BC8:BF8"/>
    <mergeCell ref="BG8:BJ8"/>
    <mergeCell ref="V5:Y5"/>
    <mergeCell ref="A8:A9"/>
    <mergeCell ref="B8:B9"/>
    <mergeCell ref="C5:L5"/>
    <mergeCell ref="M5:S5"/>
    <mergeCell ref="T5:U5"/>
    <mergeCell ref="D6:AK6"/>
    <mergeCell ref="W8:Z8"/>
    <mergeCell ref="AA8:AD8"/>
    <mergeCell ref="AE8:AH8"/>
    <mergeCell ref="AI8:AL8"/>
    <mergeCell ref="AM8:AP8"/>
    <mergeCell ref="C8:F8"/>
    <mergeCell ref="G8:J8"/>
    <mergeCell ref="K8:N8"/>
    <mergeCell ref="O8:R8"/>
    <mergeCell ref="S8:V8"/>
    <mergeCell ref="T4:U4"/>
    <mergeCell ref="I1:AF1"/>
    <mergeCell ref="C3:L3"/>
    <mergeCell ref="M3:S3"/>
    <mergeCell ref="T3:U3"/>
    <mergeCell ref="C4:L4"/>
    <mergeCell ref="M4:S4"/>
    <mergeCell ref="V3:Y3"/>
    <mergeCell ref="V4:Y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opLeftCell="A49" zoomScale="75" workbookViewId="0">
      <selection activeCell="T103" sqref="T103"/>
    </sheetView>
  </sheetViews>
  <sheetFormatPr defaultRowHeight="15" customHeight="1"/>
  <cols>
    <col min="1" max="1" width="9.109375" customWidth="1"/>
    <col min="2" max="2" width="16.6640625" customWidth="1"/>
    <col min="3" max="3" width="42" customWidth="1"/>
    <col min="4" max="6" width="4.109375" customWidth="1"/>
    <col min="7" max="7" width="8.5546875" customWidth="1"/>
    <col min="8" max="9" width="4.109375" customWidth="1"/>
    <col min="10" max="14" width="6.33203125" customWidth="1"/>
    <col min="15" max="15" width="6.109375" customWidth="1"/>
    <col min="16" max="17" width="6.33203125" customWidth="1"/>
    <col min="18" max="18" width="3.109375" customWidth="1"/>
    <col min="19" max="19" width="3.6640625" customWidth="1"/>
    <col min="20" max="22" width="5.5546875" customWidth="1"/>
    <col min="23" max="23" width="3.109375" customWidth="1"/>
    <col min="24" max="24" width="3.6640625" customWidth="1"/>
    <col min="25" max="25" width="5.5546875" customWidth="1"/>
    <col min="26" max="26" width="5.33203125" customWidth="1"/>
    <col min="27" max="29" width="4.6640625" customWidth="1"/>
    <col min="30" max="30" width="9" customWidth="1"/>
  </cols>
  <sheetData>
    <row r="1" spans="1:30" ht="14.4">
      <c r="A1" s="28"/>
      <c r="B1" s="1"/>
      <c r="C1" s="2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W1" s="1"/>
      <c r="X1" s="18"/>
      <c r="Y1" s="18"/>
    </row>
    <row r="2" spans="1:30" ht="18.75" customHeight="1">
      <c r="A2" s="28"/>
      <c r="B2" s="1"/>
      <c r="C2" s="2"/>
      <c r="D2" s="17"/>
      <c r="E2" s="221" t="s">
        <v>111</v>
      </c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X2" s="18"/>
      <c r="Y2" s="18"/>
    </row>
    <row r="3" spans="1:30" ht="15.75" customHeight="1" thickBot="1">
      <c r="A3" s="28"/>
      <c r="B3" s="6"/>
      <c r="C3" s="31"/>
      <c r="F3" s="18"/>
      <c r="G3" s="18"/>
      <c r="I3" s="1"/>
      <c r="J3" s="1"/>
      <c r="K3" s="1"/>
      <c r="L3" s="1"/>
      <c r="M3" s="1"/>
      <c r="N3" s="1"/>
      <c r="O3" s="1"/>
      <c r="P3" s="1"/>
      <c r="Q3" s="1"/>
      <c r="R3" s="1"/>
      <c r="W3" s="1"/>
      <c r="X3" s="18"/>
      <c r="Y3" s="18"/>
    </row>
    <row r="4" spans="1:30" ht="32.25" customHeight="1">
      <c r="A4" s="28"/>
      <c r="B4" s="222" t="s">
        <v>1</v>
      </c>
      <c r="C4" s="223"/>
      <c r="D4" s="227" t="s">
        <v>263</v>
      </c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X4" s="18"/>
      <c r="Y4" s="18"/>
    </row>
    <row r="5" spans="1:30" ht="55.5" customHeight="1">
      <c r="A5" s="28"/>
      <c r="B5" s="224" t="s">
        <v>3</v>
      </c>
      <c r="C5" s="182"/>
      <c r="D5" s="228" t="s">
        <v>149</v>
      </c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X5" s="18"/>
      <c r="Y5" s="18"/>
    </row>
    <row r="6" spans="1:30" ht="17.25" customHeight="1" thickBot="1">
      <c r="A6" s="28"/>
      <c r="B6" s="225" t="s">
        <v>5</v>
      </c>
      <c r="C6" s="226"/>
      <c r="D6" s="229" t="s">
        <v>6</v>
      </c>
      <c r="E6" s="229"/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X6" s="18"/>
      <c r="Y6" s="18"/>
    </row>
    <row r="7" spans="1:30" ht="14.4">
      <c r="A7" s="28"/>
      <c r="B7" s="1"/>
      <c r="C7" s="2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W7" s="1"/>
      <c r="X7" s="18"/>
      <c r="Y7" s="18"/>
    </row>
    <row r="8" spans="1:30" ht="90" customHeight="1">
      <c r="A8" s="28"/>
      <c r="B8" s="204" t="s">
        <v>112</v>
      </c>
      <c r="C8" s="205" t="s">
        <v>96</v>
      </c>
      <c r="D8" s="206" t="s">
        <v>113</v>
      </c>
      <c r="E8" s="182"/>
      <c r="F8" s="182"/>
      <c r="G8" s="182"/>
      <c r="H8" s="209" t="s">
        <v>114</v>
      </c>
      <c r="I8" s="210"/>
      <c r="J8" s="211"/>
      <c r="K8" s="208" t="s">
        <v>115</v>
      </c>
      <c r="L8" s="208"/>
      <c r="M8" s="208"/>
      <c r="N8" s="208"/>
      <c r="O8" s="208"/>
      <c r="P8" s="208"/>
      <c r="Q8" s="208"/>
      <c r="R8" s="207" t="s">
        <v>116</v>
      </c>
      <c r="S8" s="182"/>
      <c r="T8" s="167"/>
      <c r="U8" s="206" t="s">
        <v>117</v>
      </c>
      <c r="V8" s="207"/>
      <c r="W8" s="207"/>
      <c r="X8" s="207"/>
      <c r="Y8" s="212"/>
      <c r="Z8" s="201" t="s">
        <v>118</v>
      </c>
      <c r="AA8" s="202"/>
      <c r="AB8" s="202"/>
      <c r="AC8" s="202"/>
      <c r="AD8" s="203"/>
    </row>
    <row r="9" spans="1:30" ht="102" customHeight="1">
      <c r="A9" s="28"/>
      <c r="B9" s="176"/>
      <c r="C9" s="176"/>
      <c r="D9" s="46" t="s">
        <v>119</v>
      </c>
      <c r="E9" s="46" t="s">
        <v>120</v>
      </c>
      <c r="F9" s="46" t="s">
        <v>121</v>
      </c>
      <c r="G9" s="46" t="s">
        <v>13</v>
      </c>
      <c r="H9" s="85" t="s">
        <v>122</v>
      </c>
      <c r="I9" s="85" t="s">
        <v>121</v>
      </c>
      <c r="J9" s="85" t="s">
        <v>13</v>
      </c>
      <c r="K9" s="85" t="s">
        <v>123</v>
      </c>
      <c r="L9" s="89" t="s">
        <v>101</v>
      </c>
      <c r="M9" s="89" t="s">
        <v>102</v>
      </c>
      <c r="N9" s="89" t="s">
        <v>159</v>
      </c>
      <c r="O9" s="89" t="s">
        <v>160</v>
      </c>
      <c r="P9" s="89" t="s">
        <v>121</v>
      </c>
      <c r="Q9" s="85" t="s">
        <v>13</v>
      </c>
      <c r="R9" s="46" t="s">
        <v>103</v>
      </c>
      <c r="S9" s="46" t="s">
        <v>121</v>
      </c>
      <c r="T9" s="46" t="s">
        <v>13</v>
      </c>
      <c r="U9" s="46" t="s">
        <v>104</v>
      </c>
      <c r="V9" s="46" t="s">
        <v>124</v>
      </c>
      <c r="W9" s="46" t="s">
        <v>125</v>
      </c>
      <c r="X9" s="46" t="s">
        <v>121</v>
      </c>
      <c r="Y9" s="143" t="s">
        <v>13</v>
      </c>
      <c r="Z9" s="146" t="s">
        <v>152</v>
      </c>
      <c r="AA9" s="146" t="s">
        <v>157</v>
      </c>
      <c r="AB9" s="146" t="s">
        <v>158</v>
      </c>
      <c r="AC9" s="146" t="s">
        <v>121</v>
      </c>
      <c r="AD9" s="146" t="s">
        <v>13</v>
      </c>
    </row>
    <row r="10" spans="1:30" ht="14.4">
      <c r="A10" s="28">
        <v>1</v>
      </c>
      <c r="B10" s="125" t="s">
        <v>15</v>
      </c>
      <c r="C10" s="116" t="s">
        <v>175</v>
      </c>
      <c r="D10" s="80">
        <v>9</v>
      </c>
      <c r="E10" s="42">
        <v>6</v>
      </c>
      <c r="F10" s="86">
        <f>SUM(D10,E10)</f>
        <v>15</v>
      </c>
      <c r="G10" s="87" t="str">
        <f>IF(F10&gt;=(0.6*20),"Y","N")</f>
        <v>Y</v>
      </c>
      <c r="H10" s="80">
        <v>6</v>
      </c>
      <c r="I10" s="86">
        <v>6</v>
      </c>
      <c r="J10" s="87" t="str">
        <f>IF(I10&gt;=(0.6*10),"Y","N")</f>
        <v>Y</v>
      </c>
      <c r="K10" s="88">
        <v>8</v>
      </c>
      <c r="L10" s="91">
        <v>10</v>
      </c>
      <c r="M10" s="92">
        <v>6</v>
      </c>
      <c r="N10" s="94">
        <v>8</v>
      </c>
      <c r="O10" s="94">
        <v>9</v>
      </c>
      <c r="P10" s="93">
        <f>SUM(K10,L10,M10,N10,O10)</f>
        <v>41</v>
      </c>
      <c r="Q10" s="87" t="str">
        <f>IF(P10&gt;=(0.6*50),"Y","N")</f>
        <v>Y</v>
      </c>
      <c r="R10" s="80">
        <v>9</v>
      </c>
      <c r="S10" s="80">
        <v>9</v>
      </c>
      <c r="T10" s="87" t="str">
        <f>IF(S10&gt;=(0.6*10),"Y","N")</f>
        <v>Y</v>
      </c>
      <c r="U10" s="80">
        <v>8</v>
      </c>
      <c r="V10" s="80">
        <v>6</v>
      </c>
      <c r="W10" s="80">
        <v>10</v>
      </c>
      <c r="X10" s="80">
        <f>SUM(U10,V10,W10)</f>
        <v>24</v>
      </c>
      <c r="Y10" s="144" t="str">
        <f>IF(X10&gt;=(0.6*30),"Y","N")</f>
        <v>Y</v>
      </c>
      <c r="Z10" s="101">
        <v>10</v>
      </c>
      <c r="AA10" s="101">
        <v>5</v>
      </c>
      <c r="AB10" s="101">
        <v>9</v>
      </c>
      <c r="AC10" s="147">
        <f>SUM(Z10,AA10,AB10)</f>
        <v>24</v>
      </c>
      <c r="AD10" s="87" t="str">
        <f>IF(AC10&gt;=(0.6*30),"Y","N")</f>
        <v>Y</v>
      </c>
    </row>
    <row r="11" spans="1:30" ht="14.4">
      <c r="A11" s="28">
        <v>2</v>
      </c>
      <c r="B11" s="125" t="s">
        <v>16</v>
      </c>
      <c r="C11" s="116" t="s">
        <v>176</v>
      </c>
      <c r="D11" s="80">
        <v>7</v>
      </c>
      <c r="E11" s="42">
        <v>6</v>
      </c>
      <c r="F11" s="86">
        <f t="shared" ref="F11:F74" si="0">SUM(D11,E11)</f>
        <v>13</v>
      </c>
      <c r="G11" s="87" t="str">
        <f t="shared" ref="G11:G74" si="1">IF(F11&gt;=(0.6*20),"Y","N")</f>
        <v>Y</v>
      </c>
      <c r="H11" s="80">
        <v>6</v>
      </c>
      <c r="I11" s="86">
        <v>6</v>
      </c>
      <c r="J11" s="87" t="str">
        <f t="shared" ref="J11:J74" si="2">IF(I11&gt;=(0.6*10),"Y","N")</f>
        <v>Y</v>
      </c>
      <c r="K11" s="88">
        <v>8</v>
      </c>
      <c r="L11" s="91">
        <v>10</v>
      </c>
      <c r="M11" s="92">
        <v>6</v>
      </c>
      <c r="N11" s="94">
        <v>8</v>
      </c>
      <c r="O11" s="94">
        <v>6</v>
      </c>
      <c r="P11" s="93">
        <f t="shared" ref="P11:P74" si="3">SUM(K11,L11,M11,N11,O11)</f>
        <v>38</v>
      </c>
      <c r="Q11" s="87" t="str">
        <f t="shared" ref="Q11:Q74" si="4">IF(P11&gt;=(0.6*50),"Y","N")</f>
        <v>Y</v>
      </c>
      <c r="R11" s="80">
        <v>9</v>
      </c>
      <c r="S11" s="80">
        <v>9</v>
      </c>
      <c r="T11" s="87" t="str">
        <f t="shared" ref="T11:T74" si="5">IF(S11&gt;=(0.6*10),"Y","N")</f>
        <v>Y</v>
      </c>
      <c r="U11" s="80">
        <v>8</v>
      </c>
      <c r="V11" s="80">
        <v>9</v>
      </c>
      <c r="W11" s="80">
        <v>7</v>
      </c>
      <c r="X11" s="80">
        <f t="shared" ref="X11:X74" si="6">SUM(U11,V11,W11)</f>
        <v>24</v>
      </c>
      <c r="Y11" s="144" t="str">
        <f t="shared" ref="Y11:Y74" si="7">IF(X11&gt;=(0.6*30),"Y","N")</f>
        <v>Y</v>
      </c>
      <c r="Z11" s="101">
        <v>7</v>
      </c>
      <c r="AA11" s="101">
        <v>9</v>
      </c>
      <c r="AB11" s="101">
        <v>9</v>
      </c>
      <c r="AC11" s="147">
        <f t="shared" ref="AC11:AC74" si="8">SUM(Z11,AA11,AB11)</f>
        <v>25</v>
      </c>
      <c r="AD11" s="87" t="str">
        <f t="shared" ref="AD11:AD74" si="9">IF(AC11&gt;=(0.6*30),"Y","N")</f>
        <v>Y</v>
      </c>
    </row>
    <row r="12" spans="1:30" ht="14.4">
      <c r="A12" s="28">
        <v>3</v>
      </c>
      <c r="B12" s="125" t="s">
        <v>17</v>
      </c>
      <c r="C12" s="116" t="s">
        <v>177</v>
      </c>
      <c r="D12" s="80">
        <v>9</v>
      </c>
      <c r="E12" s="42">
        <v>6</v>
      </c>
      <c r="F12" s="86">
        <f t="shared" si="0"/>
        <v>15</v>
      </c>
      <c r="G12" s="87" t="str">
        <f t="shared" si="1"/>
        <v>Y</v>
      </c>
      <c r="H12" s="80">
        <v>6</v>
      </c>
      <c r="I12" s="86">
        <v>6</v>
      </c>
      <c r="J12" s="87" t="str">
        <f t="shared" si="2"/>
        <v>Y</v>
      </c>
      <c r="K12" s="88">
        <v>8</v>
      </c>
      <c r="L12" s="91">
        <v>10</v>
      </c>
      <c r="M12" s="92">
        <v>6</v>
      </c>
      <c r="N12" s="94">
        <v>7</v>
      </c>
      <c r="O12" s="94">
        <v>6</v>
      </c>
      <c r="P12" s="93">
        <f t="shared" si="3"/>
        <v>37</v>
      </c>
      <c r="Q12" s="87" t="str">
        <f t="shared" si="4"/>
        <v>Y</v>
      </c>
      <c r="R12" s="80">
        <v>9</v>
      </c>
      <c r="S12" s="80">
        <v>9</v>
      </c>
      <c r="T12" s="87" t="str">
        <f t="shared" si="5"/>
        <v>Y</v>
      </c>
      <c r="U12" s="80">
        <v>10</v>
      </c>
      <c r="V12" s="80">
        <v>10</v>
      </c>
      <c r="W12" s="80">
        <v>10</v>
      </c>
      <c r="X12" s="80">
        <f t="shared" si="6"/>
        <v>30</v>
      </c>
      <c r="Y12" s="144" t="str">
        <f t="shared" si="7"/>
        <v>Y</v>
      </c>
      <c r="Z12" s="101">
        <v>8</v>
      </c>
      <c r="AA12" s="101">
        <v>9</v>
      </c>
      <c r="AB12" s="101">
        <v>7</v>
      </c>
      <c r="AC12" s="147">
        <f t="shared" si="8"/>
        <v>24</v>
      </c>
      <c r="AD12" s="87" t="str">
        <f t="shared" si="9"/>
        <v>Y</v>
      </c>
    </row>
    <row r="13" spans="1:30" ht="14.4">
      <c r="A13" s="28">
        <v>4</v>
      </c>
      <c r="B13" s="125" t="s">
        <v>18</v>
      </c>
      <c r="C13" s="116" t="s">
        <v>178</v>
      </c>
      <c r="D13" s="80">
        <v>8</v>
      </c>
      <c r="E13" s="42">
        <v>6</v>
      </c>
      <c r="F13" s="86">
        <f t="shared" si="0"/>
        <v>14</v>
      </c>
      <c r="G13" s="87" t="str">
        <f t="shared" si="1"/>
        <v>Y</v>
      </c>
      <c r="H13" s="80">
        <v>6</v>
      </c>
      <c r="I13" s="86">
        <v>6</v>
      </c>
      <c r="J13" s="87" t="str">
        <f t="shared" si="2"/>
        <v>Y</v>
      </c>
      <c r="K13" s="88">
        <v>9</v>
      </c>
      <c r="L13" s="91">
        <v>10</v>
      </c>
      <c r="M13" s="92">
        <v>6</v>
      </c>
      <c r="N13" s="94">
        <v>9</v>
      </c>
      <c r="O13" s="94">
        <v>10</v>
      </c>
      <c r="P13" s="93">
        <f t="shared" si="3"/>
        <v>44</v>
      </c>
      <c r="Q13" s="87" t="str">
        <f t="shared" si="4"/>
        <v>Y</v>
      </c>
      <c r="R13" s="80">
        <v>9</v>
      </c>
      <c r="S13" s="80">
        <v>9</v>
      </c>
      <c r="T13" s="87" t="str">
        <f t="shared" si="5"/>
        <v>Y</v>
      </c>
      <c r="U13" s="80">
        <v>10</v>
      </c>
      <c r="V13" s="80">
        <v>9</v>
      </c>
      <c r="W13" s="80">
        <v>9</v>
      </c>
      <c r="X13" s="80">
        <f t="shared" si="6"/>
        <v>28</v>
      </c>
      <c r="Y13" s="144" t="str">
        <f t="shared" si="7"/>
        <v>Y</v>
      </c>
      <c r="Z13" s="101">
        <v>8</v>
      </c>
      <c r="AA13" s="101">
        <v>10</v>
      </c>
      <c r="AB13" s="101">
        <v>8</v>
      </c>
      <c r="AC13" s="147">
        <f t="shared" si="8"/>
        <v>26</v>
      </c>
      <c r="AD13" s="87" t="str">
        <f t="shared" si="9"/>
        <v>Y</v>
      </c>
    </row>
    <row r="14" spans="1:30" ht="14.4">
      <c r="A14" s="28">
        <v>5</v>
      </c>
      <c r="B14" s="125" t="s">
        <v>19</v>
      </c>
      <c r="C14" s="116" t="s">
        <v>179</v>
      </c>
      <c r="D14" s="80">
        <v>8</v>
      </c>
      <c r="E14" s="42">
        <v>6</v>
      </c>
      <c r="F14" s="86">
        <f t="shared" si="0"/>
        <v>14</v>
      </c>
      <c r="G14" s="87" t="str">
        <f t="shared" si="1"/>
        <v>Y</v>
      </c>
      <c r="H14" s="80">
        <v>6</v>
      </c>
      <c r="I14" s="86">
        <v>6</v>
      </c>
      <c r="J14" s="87" t="str">
        <f t="shared" si="2"/>
        <v>Y</v>
      </c>
      <c r="K14" s="88">
        <v>9</v>
      </c>
      <c r="L14" s="91">
        <v>10</v>
      </c>
      <c r="M14" s="92">
        <v>8</v>
      </c>
      <c r="N14" s="94">
        <v>10</v>
      </c>
      <c r="O14" s="94">
        <v>10</v>
      </c>
      <c r="P14" s="93">
        <f t="shared" si="3"/>
        <v>47</v>
      </c>
      <c r="Q14" s="87" t="str">
        <f t="shared" si="4"/>
        <v>Y</v>
      </c>
      <c r="R14" s="80">
        <v>9</v>
      </c>
      <c r="S14" s="80">
        <v>9</v>
      </c>
      <c r="T14" s="87" t="str">
        <f t="shared" si="5"/>
        <v>Y</v>
      </c>
      <c r="U14" s="80">
        <v>10</v>
      </c>
      <c r="V14" s="80">
        <v>9</v>
      </c>
      <c r="W14" s="80">
        <v>10</v>
      </c>
      <c r="X14" s="80">
        <f t="shared" si="6"/>
        <v>29</v>
      </c>
      <c r="Y14" s="144" t="str">
        <f t="shared" si="7"/>
        <v>Y</v>
      </c>
      <c r="Z14" s="101">
        <v>10</v>
      </c>
      <c r="AA14" s="101">
        <v>10</v>
      </c>
      <c r="AB14" s="101">
        <v>10</v>
      </c>
      <c r="AC14" s="147">
        <f t="shared" si="8"/>
        <v>30</v>
      </c>
      <c r="AD14" s="87" t="str">
        <f t="shared" si="9"/>
        <v>Y</v>
      </c>
    </row>
    <row r="15" spans="1:30" ht="14.4">
      <c r="A15" s="28">
        <v>6</v>
      </c>
      <c r="B15" s="125" t="s">
        <v>20</v>
      </c>
      <c r="C15" s="116" t="s">
        <v>180</v>
      </c>
      <c r="D15" s="80">
        <v>7</v>
      </c>
      <c r="E15" s="42">
        <v>6</v>
      </c>
      <c r="F15" s="86">
        <f t="shared" si="0"/>
        <v>13</v>
      </c>
      <c r="G15" s="87" t="str">
        <f t="shared" si="1"/>
        <v>Y</v>
      </c>
      <c r="H15" s="80">
        <v>5</v>
      </c>
      <c r="I15" s="86">
        <v>5</v>
      </c>
      <c r="J15" s="87" t="str">
        <f t="shared" si="2"/>
        <v>N</v>
      </c>
      <c r="K15" s="88">
        <v>5</v>
      </c>
      <c r="L15" s="91">
        <v>6</v>
      </c>
      <c r="M15" s="92">
        <v>6</v>
      </c>
      <c r="N15" s="94">
        <v>9</v>
      </c>
      <c r="O15" s="94">
        <v>10</v>
      </c>
      <c r="P15" s="93">
        <f t="shared" si="3"/>
        <v>36</v>
      </c>
      <c r="Q15" s="87" t="str">
        <f t="shared" si="4"/>
        <v>Y</v>
      </c>
      <c r="R15" s="80">
        <v>8</v>
      </c>
      <c r="S15" s="80">
        <v>8</v>
      </c>
      <c r="T15" s="87" t="str">
        <f t="shared" si="5"/>
        <v>Y</v>
      </c>
      <c r="U15" s="80">
        <v>7</v>
      </c>
      <c r="V15" s="80">
        <v>8</v>
      </c>
      <c r="W15" s="80">
        <v>7</v>
      </c>
      <c r="X15" s="80">
        <f t="shared" si="6"/>
        <v>22</v>
      </c>
      <c r="Y15" s="144" t="str">
        <f t="shared" si="7"/>
        <v>Y</v>
      </c>
      <c r="Z15" s="101">
        <v>8</v>
      </c>
      <c r="AA15" s="101">
        <v>8</v>
      </c>
      <c r="AB15" s="101">
        <v>7</v>
      </c>
      <c r="AC15" s="147">
        <f t="shared" si="8"/>
        <v>23</v>
      </c>
      <c r="AD15" s="87" t="str">
        <f t="shared" si="9"/>
        <v>Y</v>
      </c>
    </row>
    <row r="16" spans="1:30" ht="14.4">
      <c r="A16" s="28">
        <v>7</v>
      </c>
      <c r="B16" s="125" t="s">
        <v>22</v>
      </c>
      <c r="C16" s="116" t="s">
        <v>181</v>
      </c>
      <c r="D16" s="80">
        <v>9</v>
      </c>
      <c r="E16" s="42">
        <v>6</v>
      </c>
      <c r="F16" s="86">
        <f t="shared" si="0"/>
        <v>15</v>
      </c>
      <c r="G16" s="87" t="str">
        <f t="shared" si="1"/>
        <v>Y</v>
      </c>
      <c r="H16" s="80">
        <v>6</v>
      </c>
      <c r="I16" s="86">
        <v>6</v>
      </c>
      <c r="J16" s="87" t="str">
        <f t="shared" si="2"/>
        <v>Y</v>
      </c>
      <c r="K16" s="88">
        <v>8</v>
      </c>
      <c r="L16" s="91">
        <v>10</v>
      </c>
      <c r="M16" s="92">
        <v>8</v>
      </c>
      <c r="N16" s="94">
        <v>7</v>
      </c>
      <c r="O16" s="94">
        <v>6</v>
      </c>
      <c r="P16" s="93">
        <f t="shared" si="3"/>
        <v>39</v>
      </c>
      <c r="Q16" s="87" t="str">
        <f t="shared" si="4"/>
        <v>Y</v>
      </c>
      <c r="R16" s="80">
        <v>9</v>
      </c>
      <c r="S16" s="80">
        <v>9</v>
      </c>
      <c r="T16" s="87" t="str">
        <f t="shared" si="5"/>
        <v>Y</v>
      </c>
      <c r="U16" s="80">
        <v>7</v>
      </c>
      <c r="V16" s="80">
        <v>8</v>
      </c>
      <c r="W16" s="80">
        <v>8</v>
      </c>
      <c r="X16" s="80">
        <f t="shared" si="6"/>
        <v>23</v>
      </c>
      <c r="Y16" s="144" t="str">
        <f t="shared" si="7"/>
        <v>Y</v>
      </c>
      <c r="Z16" s="101">
        <v>6</v>
      </c>
      <c r="AA16" s="101">
        <v>10</v>
      </c>
      <c r="AB16" s="101">
        <v>9</v>
      </c>
      <c r="AC16" s="147">
        <f t="shared" si="8"/>
        <v>25</v>
      </c>
      <c r="AD16" s="87" t="str">
        <f t="shared" si="9"/>
        <v>Y</v>
      </c>
    </row>
    <row r="17" spans="1:30" ht="14.4">
      <c r="A17" s="28">
        <v>8</v>
      </c>
      <c r="B17" s="125" t="s">
        <v>23</v>
      </c>
      <c r="C17" s="117" t="s">
        <v>21</v>
      </c>
      <c r="D17" s="80">
        <v>5</v>
      </c>
      <c r="E17" s="42">
        <v>6</v>
      </c>
      <c r="F17" s="86">
        <f t="shared" si="0"/>
        <v>11</v>
      </c>
      <c r="G17" s="87" t="str">
        <f t="shared" si="1"/>
        <v>N</v>
      </c>
      <c r="H17" s="80">
        <v>6</v>
      </c>
      <c r="I17" s="86">
        <v>6</v>
      </c>
      <c r="J17" s="87" t="str">
        <f t="shared" si="2"/>
        <v>Y</v>
      </c>
      <c r="K17" s="88">
        <v>8</v>
      </c>
      <c r="L17" s="91">
        <v>5</v>
      </c>
      <c r="M17" s="92">
        <v>6</v>
      </c>
      <c r="N17" s="94">
        <v>6</v>
      </c>
      <c r="O17" s="94">
        <v>5</v>
      </c>
      <c r="P17" s="93">
        <f t="shared" si="3"/>
        <v>30</v>
      </c>
      <c r="Q17" s="87" t="str">
        <f t="shared" si="4"/>
        <v>Y</v>
      </c>
      <c r="R17" s="80">
        <v>9</v>
      </c>
      <c r="S17" s="80">
        <v>9</v>
      </c>
      <c r="T17" s="87" t="str">
        <f t="shared" si="5"/>
        <v>Y</v>
      </c>
      <c r="U17" s="80">
        <v>10</v>
      </c>
      <c r="V17" s="80">
        <v>7</v>
      </c>
      <c r="W17" s="80">
        <v>5</v>
      </c>
      <c r="X17" s="80">
        <f t="shared" si="6"/>
        <v>22</v>
      </c>
      <c r="Y17" s="144" t="str">
        <f t="shared" si="7"/>
        <v>Y</v>
      </c>
      <c r="Z17" s="101">
        <v>7</v>
      </c>
      <c r="AA17" s="101">
        <v>5</v>
      </c>
      <c r="AB17" s="101">
        <v>7</v>
      </c>
      <c r="AC17" s="147">
        <f t="shared" si="8"/>
        <v>19</v>
      </c>
      <c r="AD17" s="87" t="str">
        <f t="shared" si="9"/>
        <v>Y</v>
      </c>
    </row>
    <row r="18" spans="1:30" ht="14.4">
      <c r="A18" s="28">
        <v>9</v>
      </c>
      <c r="B18" s="125" t="s">
        <v>24</v>
      </c>
      <c r="C18" s="117" t="s">
        <v>182</v>
      </c>
      <c r="D18" s="80">
        <v>9</v>
      </c>
      <c r="E18" s="42">
        <v>6</v>
      </c>
      <c r="F18" s="86">
        <f t="shared" si="0"/>
        <v>15</v>
      </c>
      <c r="G18" s="87" t="str">
        <f t="shared" si="1"/>
        <v>Y</v>
      </c>
      <c r="H18" s="80">
        <v>6</v>
      </c>
      <c r="I18" s="86">
        <v>6</v>
      </c>
      <c r="J18" s="87" t="str">
        <f t="shared" si="2"/>
        <v>Y</v>
      </c>
      <c r="K18" s="88">
        <v>8</v>
      </c>
      <c r="L18" s="91">
        <v>10</v>
      </c>
      <c r="M18" s="92">
        <v>6</v>
      </c>
      <c r="N18" s="94">
        <v>5</v>
      </c>
      <c r="O18" s="94">
        <v>5</v>
      </c>
      <c r="P18" s="93">
        <f t="shared" si="3"/>
        <v>34</v>
      </c>
      <c r="Q18" s="87" t="str">
        <f t="shared" si="4"/>
        <v>Y</v>
      </c>
      <c r="R18" s="80">
        <v>9</v>
      </c>
      <c r="S18" s="80">
        <v>9</v>
      </c>
      <c r="T18" s="87" t="str">
        <f t="shared" si="5"/>
        <v>Y</v>
      </c>
      <c r="U18" s="80">
        <v>10</v>
      </c>
      <c r="V18" s="80">
        <v>10</v>
      </c>
      <c r="W18" s="80">
        <v>10</v>
      </c>
      <c r="X18" s="80">
        <f t="shared" si="6"/>
        <v>30</v>
      </c>
      <c r="Y18" s="144" t="str">
        <f t="shared" si="7"/>
        <v>Y</v>
      </c>
      <c r="Z18" s="101">
        <v>9</v>
      </c>
      <c r="AA18" s="101">
        <v>8</v>
      </c>
      <c r="AB18" s="101">
        <v>7</v>
      </c>
      <c r="AC18" s="147">
        <f t="shared" si="8"/>
        <v>24</v>
      </c>
      <c r="AD18" s="87" t="str">
        <f t="shared" si="9"/>
        <v>Y</v>
      </c>
    </row>
    <row r="19" spans="1:30" ht="14.4">
      <c r="A19" s="28">
        <v>10</v>
      </c>
      <c r="B19" s="125" t="s">
        <v>25</v>
      </c>
      <c r="C19" s="117" t="s">
        <v>183</v>
      </c>
      <c r="D19" s="80">
        <v>9</v>
      </c>
      <c r="E19" s="42">
        <v>6</v>
      </c>
      <c r="F19" s="86">
        <f t="shared" si="0"/>
        <v>15</v>
      </c>
      <c r="G19" s="87" t="str">
        <f t="shared" si="1"/>
        <v>Y</v>
      </c>
      <c r="H19" s="80">
        <v>6</v>
      </c>
      <c r="I19" s="86">
        <v>6</v>
      </c>
      <c r="J19" s="87" t="str">
        <f t="shared" si="2"/>
        <v>Y</v>
      </c>
      <c r="K19" s="88">
        <v>8</v>
      </c>
      <c r="L19" s="91">
        <v>10</v>
      </c>
      <c r="M19" s="92">
        <v>6</v>
      </c>
      <c r="N19" s="94">
        <v>5</v>
      </c>
      <c r="O19" s="94">
        <v>9</v>
      </c>
      <c r="P19" s="93">
        <f t="shared" si="3"/>
        <v>38</v>
      </c>
      <c r="Q19" s="87" t="str">
        <f t="shared" si="4"/>
        <v>Y</v>
      </c>
      <c r="R19" s="80">
        <v>9</v>
      </c>
      <c r="S19" s="80">
        <v>9</v>
      </c>
      <c r="T19" s="87" t="str">
        <f t="shared" si="5"/>
        <v>Y</v>
      </c>
      <c r="U19" s="80">
        <v>10</v>
      </c>
      <c r="V19" s="80">
        <v>10</v>
      </c>
      <c r="W19" s="80">
        <v>10</v>
      </c>
      <c r="X19" s="80">
        <f t="shared" si="6"/>
        <v>30</v>
      </c>
      <c r="Y19" s="144" t="str">
        <f t="shared" si="7"/>
        <v>Y</v>
      </c>
      <c r="Z19" s="101">
        <v>9</v>
      </c>
      <c r="AA19" s="101">
        <v>8</v>
      </c>
      <c r="AB19" s="101">
        <v>7</v>
      </c>
      <c r="AC19" s="147">
        <f t="shared" si="8"/>
        <v>24</v>
      </c>
      <c r="AD19" s="87" t="str">
        <f t="shared" si="9"/>
        <v>Y</v>
      </c>
    </row>
    <row r="20" spans="1:30" ht="14.4">
      <c r="A20" s="28">
        <v>11</v>
      </c>
      <c r="B20" s="125" t="s">
        <v>26</v>
      </c>
      <c r="C20" s="117" t="s">
        <v>184</v>
      </c>
      <c r="D20" s="80">
        <v>9</v>
      </c>
      <c r="E20" s="42">
        <v>6</v>
      </c>
      <c r="F20" s="86">
        <f t="shared" si="0"/>
        <v>15</v>
      </c>
      <c r="G20" s="87" t="str">
        <f t="shared" si="1"/>
        <v>Y</v>
      </c>
      <c r="H20" s="80">
        <v>6</v>
      </c>
      <c r="I20" s="86">
        <v>6</v>
      </c>
      <c r="J20" s="87" t="str">
        <f t="shared" si="2"/>
        <v>Y</v>
      </c>
      <c r="K20" s="88">
        <v>8</v>
      </c>
      <c r="L20" s="91">
        <v>10</v>
      </c>
      <c r="M20" s="92">
        <v>6</v>
      </c>
      <c r="N20" s="94">
        <v>8</v>
      </c>
      <c r="O20" s="94">
        <v>9</v>
      </c>
      <c r="P20" s="93">
        <f t="shared" si="3"/>
        <v>41</v>
      </c>
      <c r="Q20" s="87" t="str">
        <f t="shared" si="4"/>
        <v>Y</v>
      </c>
      <c r="R20" s="80">
        <v>9</v>
      </c>
      <c r="S20" s="80">
        <v>9</v>
      </c>
      <c r="T20" s="87" t="str">
        <f t="shared" si="5"/>
        <v>Y</v>
      </c>
      <c r="U20" s="80">
        <v>10</v>
      </c>
      <c r="V20" s="80">
        <v>10</v>
      </c>
      <c r="W20" s="80">
        <v>10</v>
      </c>
      <c r="X20" s="80">
        <f t="shared" si="6"/>
        <v>30</v>
      </c>
      <c r="Y20" s="144" t="str">
        <f t="shared" si="7"/>
        <v>Y</v>
      </c>
      <c r="Z20" s="101">
        <v>9</v>
      </c>
      <c r="AA20" s="101">
        <v>8</v>
      </c>
      <c r="AB20" s="101">
        <v>7</v>
      </c>
      <c r="AC20" s="147">
        <f t="shared" si="8"/>
        <v>24</v>
      </c>
      <c r="AD20" s="87" t="str">
        <f t="shared" si="9"/>
        <v>Y</v>
      </c>
    </row>
    <row r="21" spans="1:30" ht="15.75" customHeight="1">
      <c r="A21" s="28">
        <v>12</v>
      </c>
      <c r="B21" s="125" t="s">
        <v>28</v>
      </c>
      <c r="C21" s="117" t="s">
        <v>185</v>
      </c>
      <c r="D21" s="80">
        <v>9</v>
      </c>
      <c r="E21" s="42">
        <v>6</v>
      </c>
      <c r="F21" s="86">
        <f t="shared" si="0"/>
        <v>15</v>
      </c>
      <c r="G21" s="87" t="str">
        <f t="shared" si="1"/>
        <v>Y</v>
      </c>
      <c r="H21" s="80">
        <v>6</v>
      </c>
      <c r="I21" s="86">
        <v>6</v>
      </c>
      <c r="J21" s="87" t="str">
        <f t="shared" si="2"/>
        <v>Y</v>
      </c>
      <c r="K21" s="88">
        <v>8</v>
      </c>
      <c r="L21" s="91">
        <v>10</v>
      </c>
      <c r="M21" s="92">
        <v>6</v>
      </c>
      <c r="N21" s="94">
        <v>4</v>
      </c>
      <c r="O21" s="94">
        <v>5</v>
      </c>
      <c r="P21" s="93">
        <f t="shared" si="3"/>
        <v>33</v>
      </c>
      <c r="Q21" s="87" t="str">
        <f t="shared" si="4"/>
        <v>Y</v>
      </c>
      <c r="R21" s="80">
        <v>9</v>
      </c>
      <c r="S21" s="80">
        <v>9</v>
      </c>
      <c r="T21" s="87" t="str">
        <f t="shared" si="5"/>
        <v>Y</v>
      </c>
      <c r="U21" s="80">
        <v>10</v>
      </c>
      <c r="V21" s="80">
        <v>8</v>
      </c>
      <c r="W21" s="80">
        <v>10</v>
      </c>
      <c r="X21" s="80">
        <f t="shared" si="6"/>
        <v>28</v>
      </c>
      <c r="Y21" s="144" t="str">
        <f t="shared" si="7"/>
        <v>Y</v>
      </c>
      <c r="Z21" s="101">
        <v>9</v>
      </c>
      <c r="AA21" s="101">
        <v>7</v>
      </c>
      <c r="AB21" s="101">
        <v>7</v>
      </c>
      <c r="AC21" s="147">
        <f t="shared" si="8"/>
        <v>23</v>
      </c>
      <c r="AD21" s="87" t="str">
        <f t="shared" si="9"/>
        <v>Y</v>
      </c>
    </row>
    <row r="22" spans="1:30" ht="15.75" customHeight="1">
      <c r="A22" s="28">
        <v>13</v>
      </c>
      <c r="B22" s="125" t="s">
        <v>29</v>
      </c>
      <c r="C22" s="117" t="s">
        <v>27</v>
      </c>
      <c r="D22" s="80">
        <v>5</v>
      </c>
      <c r="E22" s="42">
        <v>6</v>
      </c>
      <c r="F22" s="86">
        <f t="shared" si="0"/>
        <v>11</v>
      </c>
      <c r="G22" s="87" t="str">
        <f t="shared" si="1"/>
        <v>N</v>
      </c>
      <c r="H22" s="80">
        <v>6</v>
      </c>
      <c r="I22" s="86">
        <v>6</v>
      </c>
      <c r="J22" s="87" t="str">
        <f t="shared" si="2"/>
        <v>Y</v>
      </c>
      <c r="K22" s="88">
        <v>5</v>
      </c>
      <c r="L22" s="91">
        <v>7</v>
      </c>
      <c r="M22" s="92">
        <v>6</v>
      </c>
      <c r="N22" s="94">
        <v>6</v>
      </c>
      <c r="O22" s="94">
        <v>5</v>
      </c>
      <c r="P22" s="93">
        <f t="shared" si="3"/>
        <v>29</v>
      </c>
      <c r="Q22" s="87" t="str">
        <f t="shared" si="4"/>
        <v>N</v>
      </c>
      <c r="R22" s="80">
        <v>9</v>
      </c>
      <c r="S22" s="80">
        <v>9</v>
      </c>
      <c r="T22" s="87" t="str">
        <f t="shared" si="5"/>
        <v>Y</v>
      </c>
      <c r="U22" s="80">
        <v>4</v>
      </c>
      <c r="V22" s="80">
        <v>6</v>
      </c>
      <c r="W22" s="80">
        <v>7</v>
      </c>
      <c r="X22" s="80">
        <f t="shared" si="6"/>
        <v>17</v>
      </c>
      <c r="Y22" s="144" t="str">
        <f t="shared" si="7"/>
        <v>N</v>
      </c>
      <c r="Z22" s="101">
        <v>6</v>
      </c>
      <c r="AA22" s="101">
        <v>6</v>
      </c>
      <c r="AB22" s="101">
        <v>7</v>
      </c>
      <c r="AC22" s="147">
        <f t="shared" si="8"/>
        <v>19</v>
      </c>
      <c r="AD22" s="87" t="str">
        <f t="shared" si="9"/>
        <v>Y</v>
      </c>
    </row>
    <row r="23" spans="1:30" ht="15.75" customHeight="1">
      <c r="A23" s="28">
        <v>14</v>
      </c>
      <c r="B23" s="126" t="s">
        <v>30</v>
      </c>
      <c r="C23" s="118" t="s">
        <v>186</v>
      </c>
      <c r="D23" s="80">
        <v>7</v>
      </c>
      <c r="E23" s="42">
        <v>6</v>
      </c>
      <c r="F23" s="86">
        <f t="shared" si="0"/>
        <v>13</v>
      </c>
      <c r="G23" s="87" t="str">
        <f t="shared" si="1"/>
        <v>Y</v>
      </c>
      <c r="H23" s="80">
        <v>6</v>
      </c>
      <c r="I23" s="86">
        <v>6</v>
      </c>
      <c r="J23" s="87" t="str">
        <f t="shared" si="2"/>
        <v>Y</v>
      </c>
      <c r="K23" s="88">
        <v>10</v>
      </c>
      <c r="L23" s="91">
        <v>10</v>
      </c>
      <c r="M23" s="92">
        <v>6</v>
      </c>
      <c r="N23" s="94">
        <v>6</v>
      </c>
      <c r="O23" s="94">
        <v>10</v>
      </c>
      <c r="P23" s="93">
        <f t="shared" si="3"/>
        <v>42</v>
      </c>
      <c r="Q23" s="87" t="str">
        <f t="shared" si="4"/>
        <v>Y</v>
      </c>
      <c r="R23" s="80">
        <v>10</v>
      </c>
      <c r="S23" s="80">
        <v>10</v>
      </c>
      <c r="T23" s="87" t="str">
        <f t="shared" si="5"/>
        <v>Y</v>
      </c>
      <c r="U23" s="80">
        <v>10</v>
      </c>
      <c r="V23" s="80">
        <v>10</v>
      </c>
      <c r="W23" s="80">
        <v>10</v>
      </c>
      <c r="X23" s="80">
        <f t="shared" si="6"/>
        <v>30</v>
      </c>
      <c r="Y23" s="144" t="str">
        <f t="shared" si="7"/>
        <v>Y</v>
      </c>
      <c r="Z23" s="101">
        <v>10</v>
      </c>
      <c r="AA23" s="101">
        <v>10</v>
      </c>
      <c r="AB23" s="101">
        <v>10</v>
      </c>
      <c r="AC23" s="147">
        <f t="shared" si="8"/>
        <v>30</v>
      </c>
      <c r="AD23" s="87" t="str">
        <f t="shared" si="9"/>
        <v>Y</v>
      </c>
    </row>
    <row r="24" spans="1:30" ht="15.75" customHeight="1">
      <c r="A24" s="28">
        <v>15</v>
      </c>
      <c r="B24" s="126" t="s">
        <v>31</v>
      </c>
      <c r="C24" s="118" t="s">
        <v>187</v>
      </c>
      <c r="D24" s="80">
        <v>7</v>
      </c>
      <c r="E24" s="42">
        <v>6</v>
      </c>
      <c r="F24" s="86">
        <f t="shared" si="0"/>
        <v>13</v>
      </c>
      <c r="G24" s="87" t="str">
        <f t="shared" si="1"/>
        <v>Y</v>
      </c>
      <c r="H24" s="80">
        <v>8</v>
      </c>
      <c r="I24" s="86">
        <v>8</v>
      </c>
      <c r="J24" s="87" t="str">
        <f t="shared" si="2"/>
        <v>Y</v>
      </c>
      <c r="K24" s="88">
        <v>8</v>
      </c>
      <c r="L24" s="91">
        <v>10</v>
      </c>
      <c r="M24" s="92">
        <v>6</v>
      </c>
      <c r="N24" s="94">
        <v>8</v>
      </c>
      <c r="O24" s="94">
        <v>8</v>
      </c>
      <c r="P24" s="93">
        <f t="shared" si="3"/>
        <v>40</v>
      </c>
      <c r="Q24" s="87" t="str">
        <f t="shared" si="4"/>
        <v>Y</v>
      </c>
      <c r="R24" s="80">
        <v>9</v>
      </c>
      <c r="S24" s="80">
        <v>9</v>
      </c>
      <c r="T24" s="87" t="str">
        <f t="shared" si="5"/>
        <v>Y</v>
      </c>
      <c r="U24" s="80">
        <v>9</v>
      </c>
      <c r="V24" s="80">
        <v>9</v>
      </c>
      <c r="W24" s="80">
        <v>8</v>
      </c>
      <c r="X24" s="80">
        <f t="shared" si="6"/>
        <v>26</v>
      </c>
      <c r="Y24" s="144" t="str">
        <f t="shared" si="7"/>
        <v>Y</v>
      </c>
      <c r="Z24" s="101">
        <v>8</v>
      </c>
      <c r="AA24" s="101">
        <v>9</v>
      </c>
      <c r="AB24" s="101">
        <v>8</v>
      </c>
      <c r="AC24" s="147">
        <f t="shared" si="8"/>
        <v>25</v>
      </c>
      <c r="AD24" s="87" t="str">
        <f t="shared" si="9"/>
        <v>Y</v>
      </c>
    </row>
    <row r="25" spans="1:30" ht="15.75" customHeight="1">
      <c r="A25" s="28">
        <v>16</v>
      </c>
      <c r="B25" s="125" t="s">
        <v>32</v>
      </c>
      <c r="C25" s="117" t="s">
        <v>188</v>
      </c>
      <c r="D25" s="80">
        <v>7</v>
      </c>
      <c r="E25" s="42">
        <v>6</v>
      </c>
      <c r="F25" s="86">
        <f t="shared" si="0"/>
        <v>13</v>
      </c>
      <c r="G25" s="87" t="str">
        <f t="shared" si="1"/>
        <v>Y</v>
      </c>
      <c r="H25" s="80">
        <v>6</v>
      </c>
      <c r="I25" s="86">
        <v>6</v>
      </c>
      <c r="J25" s="87" t="str">
        <f t="shared" si="2"/>
        <v>Y</v>
      </c>
      <c r="K25" s="88">
        <v>6</v>
      </c>
      <c r="L25" s="91">
        <v>6</v>
      </c>
      <c r="M25" s="92">
        <v>6</v>
      </c>
      <c r="N25" s="94">
        <v>10</v>
      </c>
      <c r="O25" s="94">
        <v>10</v>
      </c>
      <c r="P25" s="93">
        <f t="shared" si="3"/>
        <v>38</v>
      </c>
      <c r="Q25" s="87" t="str">
        <f t="shared" si="4"/>
        <v>Y</v>
      </c>
      <c r="R25" s="80">
        <v>8</v>
      </c>
      <c r="S25" s="80">
        <v>8</v>
      </c>
      <c r="T25" s="87" t="str">
        <f t="shared" si="5"/>
        <v>Y</v>
      </c>
      <c r="U25" s="80">
        <v>10</v>
      </c>
      <c r="V25" s="80">
        <v>6</v>
      </c>
      <c r="W25" s="80">
        <v>10</v>
      </c>
      <c r="X25" s="80">
        <f t="shared" si="6"/>
        <v>26</v>
      </c>
      <c r="Y25" s="144" t="str">
        <f t="shared" si="7"/>
        <v>Y</v>
      </c>
      <c r="Z25" s="101">
        <v>10</v>
      </c>
      <c r="AA25" s="101">
        <v>10</v>
      </c>
      <c r="AB25" s="101">
        <v>10</v>
      </c>
      <c r="AC25" s="147">
        <f t="shared" si="8"/>
        <v>30</v>
      </c>
      <c r="AD25" s="87" t="str">
        <f t="shared" si="9"/>
        <v>Y</v>
      </c>
    </row>
    <row r="26" spans="1:30" ht="15.75" customHeight="1">
      <c r="A26" s="28">
        <v>17</v>
      </c>
      <c r="B26" s="125" t="s">
        <v>33</v>
      </c>
      <c r="C26" s="117" t="s">
        <v>189</v>
      </c>
      <c r="D26" s="80">
        <v>7</v>
      </c>
      <c r="E26" s="42">
        <v>6</v>
      </c>
      <c r="F26" s="86">
        <f t="shared" si="0"/>
        <v>13</v>
      </c>
      <c r="G26" s="87" t="str">
        <f t="shared" si="1"/>
        <v>Y</v>
      </c>
      <c r="H26" s="80">
        <v>6</v>
      </c>
      <c r="I26" s="86">
        <v>6</v>
      </c>
      <c r="J26" s="87" t="str">
        <f t="shared" si="2"/>
        <v>Y</v>
      </c>
      <c r="K26" s="88">
        <v>8</v>
      </c>
      <c r="L26" s="91">
        <v>10</v>
      </c>
      <c r="M26" s="92">
        <v>6</v>
      </c>
      <c r="N26" s="94">
        <v>7</v>
      </c>
      <c r="O26" s="94">
        <v>10</v>
      </c>
      <c r="P26" s="93">
        <f t="shared" si="3"/>
        <v>41</v>
      </c>
      <c r="Q26" s="87" t="str">
        <f t="shared" si="4"/>
        <v>Y</v>
      </c>
      <c r="R26" s="80">
        <v>9</v>
      </c>
      <c r="S26" s="80">
        <v>9</v>
      </c>
      <c r="T26" s="87" t="str">
        <f t="shared" si="5"/>
        <v>Y</v>
      </c>
      <c r="U26" s="80">
        <v>8</v>
      </c>
      <c r="V26" s="80">
        <v>9</v>
      </c>
      <c r="W26" s="80">
        <v>10</v>
      </c>
      <c r="X26" s="80">
        <f t="shared" si="6"/>
        <v>27</v>
      </c>
      <c r="Y26" s="144" t="str">
        <f t="shared" si="7"/>
        <v>Y</v>
      </c>
      <c r="Z26" s="101">
        <v>7</v>
      </c>
      <c r="AA26" s="101">
        <v>10</v>
      </c>
      <c r="AB26" s="101">
        <v>10</v>
      </c>
      <c r="AC26" s="147">
        <f t="shared" si="8"/>
        <v>27</v>
      </c>
      <c r="AD26" s="87" t="str">
        <f t="shared" si="9"/>
        <v>Y</v>
      </c>
    </row>
    <row r="27" spans="1:30" ht="15.75" customHeight="1">
      <c r="A27" s="28">
        <v>18</v>
      </c>
      <c r="B27" s="125" t="s">
        <v>34</v>
      </c>
      <c r="C27" s="117" t="s">
        <v>190</v>
      </c>
      <c r="D27" s="80">
        <v>10</v>
      </c>
      <c r="E27" s="42">
        <v>10</v>
      </c>
      <c r="F27" s="86">
        <f t="shared" si="0"/>
        <v>20</v>
      </c>
      <c r="G27" s="87" t="str">
        <f t="shared" si="1"/>
        <v>Y</v>
      </c>
      <c r="H27" s="80">
        <v>6</v>
      </c>
      <c r="I27" s="86">
        <v>6</v>
      </c>
      <c r="J27" s="87" t="str">
        <f t="shared" si="2"/>
        <v>Y</v>
      </c>
      <c r="K27" s="88">
        <v>9</v>
      </c>
      <c r="L27" s="91">
        <v>7</v>
      </c>
      <c r="M27" s="92">
        <v>5</v>
      </c>
      <c r="N27" s="94">
        <v>6</v>
      </c>
      <c r="O27" s="94">
        <v>8</v>
      </c>
      <c r="P27" s="93">
        <f t="shared" si="3"/>
        <v>35</v>
      </c>
      <c r="Q27" s="87" t="str">
        <f t="shared" si="4"/>
        <v>Y</v>
      </c>
      <c r="R27" s="80">
        <v>9</v>
      </c>
      <c r="S27" s="80">
        <v>9</v>
      </c>
      <c r="T27" s="87" t="str">
        <f t="shared" si="5"/>
        <v>Y</v>
      </c>
      <c r="U27" s="80">
        <v>6</v>
      </c>
      <c r="V27" s="80">
        <v>8</v>
      </c>
      <c r="W27" s="80">
        <v>9</v>
      </c>
      <c r="X27" s="80">
        <f t="shared" si="6"/>
        <v>23</v>
      </c>
      <c r="Y27" s="144" t="str">
        <f t="shared" si="7"/>
        <v>Y</v>
      </c>
      <c r="Z27" s="101">
        <v>8</v>
      </c>
      <c r="AA27" s="101">
        <v>7</v>
      </c>
      <c r="AB27" s="101">
        <v>9</v>
      </c>
      <c r="AC27" s="147">
        <f t="shared" si="8"/>
        <v>24</v>
      </c>
      <c r="AD27" s="87" t="str">
        <f t="shared" si="9"/>
        <v>Y</v>
      </c>
    </row>
    <row r="28" spans="1:30" ht="15.75" customHeight="1">
      <c r="A28" s="28">
        <v>19</v>
      </c>
      <c r="B28" s="125" t="s">
        <v>35</v>
      </c>
      <c r="C28" s="117" t="s">
        <v>191</v>
      </c>
      <c r="D28" s="80">
        <v>7</v>
      </c>
      <c r="E28" s="42">
        <v>6</v>
      </c>
      <c r="F28" s="86">
        <f t="shared" si="0"/>
        <v>13</v>
      </c>
      <c r="G28" s="87" t="str">
        <f t="shared" si="1"/>
        <v>Y</v>
      </c>
      <c r="H28" s="80">
        <v>6</v>
      </c>
      <c r="I28" s="86">
        <v>6</v>
      </c>
      <c r="J28" s="87" t="str">
        <f t="shared" si="2"/>
        <v>Y</v>
      </c>
      <c r="K28" s="88">
        <v>8</v>
      </c>
      <c r="L28" s="91">
        <v>10</v>
      </c>
      <c r="M28" s="92">
        <v>6</v>
      </c>
      <c r="N28" s="94">
        <v>7</v>
      </c>
      <c r="O28" s="94">
        <v>9</v>
      </c>
      <c r="P28" s="93">
        <f t="shared" si="3"/>
        <v>40</v>
      </c>
      <c r="Q28" s="87" t="str">
        <f t="shared" si="4"/>
        <v>Y</v>
      </c>
      <c r="R28" s="80">
        <v>9</v>
      </c>
      <c r="S28" s="80">
        <v>9</v>
      </c>
      <c r="T28" s="87" t="str">
        <f t="shared" si="5"/>
        <v>Y</v>
      </c>
      <c r="U28" s="80">
        <v>9</v>
      </c>
      <c r="V28" s="80">
        <v>9</v>
      </c>
      <c r="W28" s="80">
        <v>8</v>
      </c>
      <c r="X28" s="80">
        <f t="shared" si="6"/>
        <v>26</v>
      </c>
      <c r="Y28" s="144" t="str">
        <f t="shared" si="7"/>
        <v>Y</v>
      </c>
      <c r="Z28" s="101">
        <v>8</v>
      </c>
      <c r="AA28" s="101">
        <v>8</v>
      </c>
      <c r="AB28" s="101">
        <v>8</v>
      </c>
      <c r="AC28" s="147">
        <f t="shared" si="8"/>
        <v>24</v>
      </c>
      <c r="AD28" s="87" t="str">
        <f t="shared" si="9"/>
        <v>Y</v>
      </c>
    </row>
    <row r="29" spans="1:30" ht="15.75" customHeight="1">
      <c r="A29" s="28">
        <v>20</v>
      </c>
      <c r="B29" s="125" t="s">
        <v>36</v>
      </c>
      <c r="C29" s="117" t="s">
        <v>192</v>
      </c>
      <c r="D29" s="80">
        <v>9</v>
      </c>
      <c r="E29" s="42">
        <v>7</v>
      </c>
      <c r="F29" s="86">
        <f t="shared" si="0"/>
        <v>16</v>
      </c>
      <c r="G29" s="87" t="str">
        <f t="shared" si="1"/>
        <v>Y</v>
      </c>
      <c r="H29" s="80">
        <v>9</v>
      </c>
      <c r="I29" s="86">
        <v>9</v>
      </c>
      <c r="J29" s="87" t="str">
        <f t="shared" si="2"/>
        <v>Y</v>
      </c>
      <c r="K29" s="88">
        <v>6</v>
      </c>
      <c r="L29" s="91">
        <v>6</v>
      </c>
      <c r="M29" s="92">
        <v>6</v>
      </c>
      <c r="N29" s="94">
        <v>9</v>
      </c>
      <c r="O29" s="94">
        <v>10</v>
      </c>
      <c r="P29" s="93">
        <f t="shared" si="3"/>
        <v>37</v>
      </c>
      <c r="Q29" s="87" t="str">
        <f t="shared" si="4"/>
        <v>Y</v>
      </c>
      <c r="R29" s="80">
        <v>8</v>
      </c>
      <c r="S29" s="80">
        <v>8</v>
      </c>
      <c r="T29" s="87" t="str">
        <f t="shared" si="5"/>
        <v>Y</v>
      </c>
      <c r="U29" s="80">
        <v>7</v>
      </c>
      <c r="V29" s="80">
        <v>6</v>
      </c>
      <c r="W29" s="80">
        <v>6</v>
      </c>
      <c r="X29" s="80">
        <f t="shared" si="6"/>
        <v>19</v>
      </c>
      <c r="Y29" s="144" t="str">
        <f t="shared" si="7"/>
        <v>Y</v>
      </c>
      <c r="Z29" s="101">
        <v>8</v>
      </c>
      <c r="AA29" s="101">
        <v>10</v>
      </c>
      <c r="AB29" s="101">
        <v>6</v>
      </c>
      <c r="AC29" s="147">
        <f t="shared" si="8"/>
        <v>24</v>
      </c>
      <c r="AD29" s="87" t="str">
        <f t="shared" si="9"/>
        <v>Y</v>
      </c>
    </row>
    <row r="30" spans="1:30" ht="15.75" customHeight="1">
      <c r="A30" s="28">
        <v>21</v>
      </c>
      <c r="B30" s="125" t="s">
        <v>37</v>
      </c>
      <c r="C30" s="117" t="s">
        <v>193</v>
      </c>
      <c r="D30" s="80">
        <v>9</v>
      </c>
      <c r="E30" s="42">
        <v>6</v>
      </c>
      <c r="F30" s="86">
        <f t="shared" si="0"/>
        <v>15</v>
      </c>
      <c r="G30" s="87" t="str">
        <f t="shared" si="1"/>
        <v>Y</v>
      </c>
      <c r="H30" s="80">
        <v>6</v>
      </c>
      <c r="I30" s="86">
        <v>6</v>
      </c>
      <c r="J30" s="87" t="str">
        <f t="shared" si="2"/>
        <v>Y</v>
      </c>
      <c r="K30" s="88">
        <v>8</v>
      </c>
      <c r="L30" s="91">
        <v>10</v>
      </c>
      <c r="M30" s="92">
        <v>8</v>
      </c>
      <c r="N30" s="94">
        <v>8</v>
      </c>
      <c r="O30" s="94">
        <v>8</v>
      </c>
      <c r="P30" s="93">
        <f t="shared" si="3"/>
        <v>42</v>
      </c>
      <c r="Q30" s="87" t="str">
        <f t="shared" si="4"/>
        <v>Y</v>
      </c>
      <c r="R30" s="80">
        <v>9</v>
      </c>
      <c r="S30" s="80">
        <v>9</v>
      </c>
      <c r="T30" s="87" t="str">
        <f t="shared" si="5"/>
        <v>Y</v>
      </c>
      <c r="U30" s="80">
        <v>10</v>
      </c>
      <c r="V30" s="80">
        <v>10</v>
      </c>
      <c r="W30" s="80">
        <v>8</v>
      </c>
      <c r="X30" s="80">
        <f t="shared" si="6"/>
        <v>28</v>
      </c>
      <c r="Y30" s="144" t="str">
        <f t="shared" si="7"/>
        <v>Y</v>
      </c>
      <c r="Z30" s="101">
        <v>8</v>
      </c>
      <c r="AA30" s="101">
        <v>9</v>
      </c>
      <c r="AB30" s="101">
        <v>9</v>
      </c>
      <c r="AC30" s="147">
        <f t="shared" si="8"/>
        <v>26</v>
      </c>
      <c r="AD30" s="87" t="str">
        <f t="shared" si="9"/>
        <v>Y</v>
      </c>
    </row>
    <row r="31" spans="1:30" ht="15.75" customHeight="1">
      <c r="A31" s="28">
        <v>22</v>
      </c>
      <c r="B31" s="125" t="s">
        <v>38</v>
      </c>
      <c r="C31" s="117" t="s">
        <v>194</v>
      </c>
      <c r="D31" s="80">
        <v>10</v>
      </c>
      <c r="E31" s="42">
        <v>10</v>
      </c>
      <c r="F31" s="86">
        <f t="shared" si="0"/>
        <v>20</v>
      </c>
      <c r="G31" s="87" t="str">
        <f t="shared" si="1"/>
        <v>Y</v>
      </c>
      <c r="H31" s="80">
        <v>6</v>
      </c>
      <c r="I31" s="86">
        <v>6</v>
      </c>
      <c r="J31" s="87" t="str">
        <f t="shared" si="2"/>
        <v>Y</v>
      </c>
      <c r="K31" s="88">
        <v>10</v>
      </c>
      <c r="L31" s="91">
        <v>6</v>
      </c>
      <c r="M31" s="92">
        <v>6</v>
      </c>
      <c r="N31" s="94">
        <v>10</v>
      </c>
      <c r="O31" s="94">
        <v>6</v>
      </c>
      <c r="P31" s="93">
        <f t="shared" si="3"/>
        <v>38</v>
      </c>
      <c r="Q31" s="87" t="str">
        <f t="shared" si="4"/>
        <v>Y</v>
      </c>
      <c r="R31" s="80">
        <v>6</v>
      </c>
      <c r="S31" s="80">
        <v>6</v>
      </c>
      <c r="T31" s="87" t="str">
        <f t="shared" si="5"/>
        <v>Y</v>
      </c>
      <c r="U31" s="80">
        <v>10</v>
      </c>
      <c r="V31" s="80">
        <v>8</v>
      </c>
      <c r="W31" s="80">
        <v>6</v>
      </c>
      <c r="X31" s="80">
        <f t="shared" si="6"/>
        <v>24</v>
      </c>
      <c r="Y31" s="144" t="str">
        <f t="shared" si="7"/>
        <v>Y</v>
      </c>
      <c r="Z31" s="101">
        <v>6</v>
      </c>
      <c r="AA31" s="101">
        <v>5</v>
      </c>
      <c r="AB31" s="101">
        <v>6</v>
      </c>
      <c r="AC31" s="147">
        <f t="shared" si="8"/>
        <v>17</v>
      </c>
      <c r="AD31" s="87" t="str">
        <f t="shared" si="9"/>
        <v>N</v>
      </c>
    </row>
    <row r="32" spans="1:30" ht="15.75" customHeight="1">
      <c r="A32" s="28">
        <v>23</v>
      </c>
      <c r="B32" s="125" t="s">
        <v>39</v>
      </c>
      <c r="C32" s="117" t="s">
        <v>195</v>
      </c>
      <c r="D32" s="80">
        <v>10</v>
      </c>
      <c r="E32" s="42">
        <v>10</v>
      </c>
      <c r="F32" s="86">
        <f t="shared" si="0"/>
        <v>20</v>
      </c>
      <c r="G32" s="87" t="str">
        <f t="shared" si="1"/>
        <v>Y</v>
      </c>
      <c r="H32" s="80">
        <v>6</v>
      </c>
      <c r="I32" s="86">
        <v>6</v>
      </c>
      <c r="J32" s="87" t="str">
        <f t="shared" si="2"/>
        <v>Y</v>
      </c>
      <c r="K32" s="88">
        <v>10</v>
      </c>
      <c r="L32" s="91">
        <v>6</v>
      </c>
      <c r="M32" s="92">
        <v>6</v>
      </c>
      <c r="N32" s="94">
        <v>10</v>
      </c>
      <c r="O32" s="94">
        <v>5</v>
      </c>
      <c r="P32" s="93">
        <f t="shared" si="3"/>
        <v>37</v>
      </c>
      <c r="Q32" s="87" t="str">
        <f t="shared" si="4"/>
        <v>Y</v>
      </c>
      <c r="R32" s="80">
        <v>6</v>
      </c>
      <c r="S32" s="80">
        <v>6</v>
      </c>
      <c r="T32" s="87" t="str">
        <f t="shared" si="5"/>
        <v>Y</v>
      </c>
      <c r="U32" s="80">
        <v>10</v>
      </c>
      <c r="V32" s="80">
        <v>8</v>
      </c>
      <c r="W32" s="80">
        <v>6</v>
      </c>
      <c r="X32" s="80">
        <f t="shared" si="6"/>
        <v>24</v>
      </c>
      <c r="Y32" s="144" t="str">
        <f t="shared" si="7"/>
        <v>Y</v>
      </c>
      <c r="Z32" s="101">
        <v>6</v>
      </c>
      <c r="AA32" s="101">
        <v>5</v>
      </c>
      <c r="AB32" s="101">
        <v>5</v>
      </c>
      <c r="AC32" s="147">
        <f t="shared" si="8"/>
        <v>16</v>
      </c>
      <c r="AD32" s="87" t="str">
        <f t="shared" si="9"/>
        <v>N</v>
      </c>
    </row>
    <row r="33" spans="1:30" ht="15.75" customHeight="1">
      <c r="A33" s="28">
        <v>24</v>
      </c>
      <c r="B33" s="125" t="s">
        <v>40</v>
      </c>
      <c r="C33" s="119" t="s">
        <v>196</v>
      </c>
      <c r="D33" s="80">
        <v>9</v>
      </c>
      <c r="E33" s="42">
        <v>6</v>
      </c>
      <c r="F33" s="86">
        <f t="shared" si="0"/>
        <v>15</v>
      </c>
      <c r="G33" s="87" t="str">
        <f t="shared" si="1"/>
        <v>Y</v>
      </c>
      <c r="H33" s="80">
        <v>6</v>
      </c>
      <c r="I33" s="86">
        <v>6</v>
      </c>
      <c r="J33" s="87" t="str">
        <f t="shared" si="2"/>
        <v>Y</v>
      </c>
      <c r="K33" s="88">
        <v>8</v>
      </c>
      <c r="L33" s="91">
        <v>10</v>
      </c>
      <c r="M33" s="92">
        <v>6</v>
      </c>
      <c r="N33" s="94">
        <v>8</v>
      </c>
      <c r="O33" s="94">
        <v>8</v>
      </c>
      <c r="P33" s="93">
        <f t="shared" si="3"/>
        <v>40</v>
      </c>
      <c r="Q33" s="87" t="str">
        <f t="shared" si="4"/>
        <v>Y</v>
      </c>
      <c r="R33" s="80">
        <v>9</v>
      </c>
      <c r="S33" s="80">
        <v>9</v>
      </c>
      <c r="T33" s="87" t="str">
        <f t="shared" si="5"/>
        <v>Y</v>
      </c>
      <c r="U33" s="80">
        <v>10</v>
      </c>
      <c r="V33" s="80">
        <v>10</v>
      </c>
      <c r="W33" s="80">
        <v>10</v>
      </c>
      <c r="X33" s="80">
        <f t="shared" si="6"/>
        <v>30</v>
      </c>
      <c r="Y33" s="144" t="str">
        <f t="shared" si="7"/>
        <v>Y</v>
      </c>
      <c r="Z33" s="101">
        <v>10</v>
      </c>
      <c r="AA33" s="101">
        <v>7</v>
      </c>
      <c r="AB33" s="101">
        <v>7</v>
      </c>
      <c r="AC33" s="147">
        <f t="shared" si="8"/>
        <v>24</v>
      </c>
      <c r="AD33" s="87" t="str">
        <f t="shared" si="9"/>
        <v>Y</v>
      </c>
    </row>
    <row r="34" spans="1:30" ht="15.75" customHeight="1">
      <c r="A34" s="28">
        <v>25</v>
      </c>
      <c r="B34" s="125" t="s">
        <v>41</v>
      </c>
      <c r="C34" s="119" t="s">
        <v>197</v>
      </c>
      <c r="D34" s="80">
        <v>6</v>
      </c>
      <c r="E34" s="42">
        <v>6</v>
      </c>
      <c r="F34" s="86">
        <f t="shared" si="0"/>
        <v>12</v>
      </c>
      <c r="G34" s="87" t="str">
        <f t="shared" si="1"/>
        <v>Y</v>
      </c>
      <c r="H34" s="80">
        <v>6</v>
      </c>
      <c r="I34" s="86">
        <v>6</v>
      </c>
      <c r="J34" s="87" t="str">
        <f t="shared" si="2"/>
        <v>Y</v>
      </c>
      <c r="K34" s="88">
        <v>6</v>
      </c>
      <c r="L34" s="91">
        <v>6</v>
      </c>
      <c r="M34" s="92">
        <v>6</v>
      </c>
      <c r="N34" s="94">
        <v>6</v>
      </c>
      <c r="O34" s="94">
        <v>10</v>
      </c>
      <c r="P34" s="93">
        <f t="shared" si="3"/>
        <v>34</v>
      </c>
      <c r="Q34" s="87" t="str">
        <f t="shared" si="4"/>
        <v>Y</v>
      </c>
      <c r="R34" s="80">
        <v>6</v>
      </c>
      <c r="S34" s="80">
        <v>6</v>
      </c>
      <c r="T34" s="87" t="str">
        <f t="shared" si="5"/>
        <v>Y</v>
      </c>
      <c r="U34" s="80">
        <v>6</v>
      </c>
      <c r="V34" s="80">
        <v>6</v>
      </c>
      <c r="W34" s="80">
        <v>10</v>
      </c>
      <c r="X34" s="80">
        <f t="shared" si="6"/>
        <v>22</v>
      </c>
      <c r="Y34" s="144" t="str">
        <f t="shared" si="7"/>
        <v>Y</v>
      </c>
      <c r="Z34" s="101">
        <v>10</v>
      </c>
      <c r="AA34" s="101">
        <v>10</v>
      </c>
      <c r="AB34" s="101">
        <v>10</v>
      </c>
      <c r="AC34" s="147">
        <f t="shared" si="8"/>
        <v>30</v>
      </c>
      <c r="AD34" s="87" t="str">
        <f t="shared" si="9"/>
        <v>Y</v>
      </c>
    </row>
    <row r="35" spans="1:30" ht="15.75" customHeight="1">
      <c r="A35" s="28">
        <v>26</v>
      </c>
      <c r="B35" s="125" t="s">
        <v>42</v>
      </c>
      <c r="C35" s="119" t="s">
        <v>198</v>
      </c>
      <c r="D35" s="80">
        <v>6</v>
      </c>
      <c r="E35" s="42">
        <v>6</v>
      </c>
      <c r="F35" s="86">
        <f t="shared" si="0"/>
        <v>12</v>
      </c>
      <c r="G35" s="87" t="str">
        <f t="shared" si="1"/>
        <v>Y</v>
      </c>
      <c r="H35" s="80">
        <v>6</v>
      </c>
      <c r="I35" s="86">
        <v>6</v>
      </c>
      <c r="J35" s="87" t="str">
        <f t="shared" si="2"/>
        <v>Y</v>
      </c>
      <c r="K35" s="88">
        <v>6</v>
      </c>
      <c r="L35" s="91">
        <v>8</v>
      </c>
      <c r="M35" s="92">
        <v>7</v>
      </c>
      <c r="N35" s="94">
        <v>10</v>
      </c>
      <c r="O35" s="94">
        <v>10</v>
      </c>
      <c r="P35" s="93">
        <f t="shared" si="3"/>
        <v>41</v>
      </c>
      <c r="Q35" s="87" t="str">
        <f t="shared" si="4"/>
        <v>Y</v>
      </c>
      <c r="R35" s="80">
        <v>6</v>
      </c>
      <c r="S35" s="80">
        <v>6</v>
      </c>
      <c r="T35" s="87" t="str">
        <f t="shared" si="5"/>
        <v>Y</v>
      </c>
      <c r="U35" s="80">
        <v>7</v>
      </c>
      <c r="V35" s="80">
        <v>7</v>
      </c>
      <c r="W35" s="80">
        <v>10</v>
      </c>
      <c r="X35" s="80">
        <f t="shared" si="6"/>
        <v>24</v>
      </c>
      <c r="Y35" s="144" t="str">
        <f t="shared" si="7"/>
        <v>Y</v>
      </c>
      <c r="Z35" s="101">
        <v>10</v>
      </c>
      <c r="AA35" s="101">
        <v>10</v>
      </c>
      <c r="AB35" s="101">
        <v>10</v>
      </c>
      <c r="AC35" s="147">
        <f t="shared" si="8"/>
        <v>30</v>
      </c>
      <c r="AD35" s="87" t="str">
        <f t="shared" si="9"/>
        <v>Y</v>
      </c>
    </row>
    <row r="36" spans="1:30" ht="15.75" customHeight="1">
      <c r="A36" s="28">
        <v>27</v>
      </c>
      <c r="B36" s="125" t="s">
        <v>43</v>
      </c>
      <c r="C36" s="119" t="s">
        <v>199</v>
      </c>
      <c r="D36" s="80">
        <v>6</v>
      </c>
      <c r="E36" s="42">
        <v>6</v>
      </c>
      <c r="F36" s="86">
        <f t="shared" si="0"/>
        <v>12</v>
      </c>
      <c r="G36" s="87" t="str">
        <f t="shared" si="1"/>
        <v>Y</v>
      </c>
      <c r="H36" s="80">
        <v>6</v>
      </c>
      <c r="I36" s="86">
        <v>6</v>
      </c>
      <c r="J36" s="87" t="str">
        <f t="shared" si="2"/>
        <v>Y</v>
      </c>
      <c r="K36" s="88">
        <v>6</v>
      </c>
      <c r="L36" s="91">
        <v>6</v>
      </c>
      <c r="M36" s="92">
        <v>10</v>
      </c>
      <c r="N36" s="94">
        <v>7</v>
      </c>
      <c r="O36" s="94">
        <v>9</v>
      </c>
      <c r="P36" s="93">
        <f t="shared" si="3"/>
        <v>38</v>
      </c>
      <c r="Q36" s="87" t="str">
        <f t="shared" si="4"/>
        <v>Y</v>
      </c>
      <c r="R36" s="80">
        <v>10</v>
      </c>
      <c r="S36" s="80">
        <v>10</v>
      </c>
      <c r="T36" s="87" t="str">
        <f t="shared" si="5"/>
        <v>Y</v>
      </c>
      <c r="U36" s="80">
        <v>10</v>
      </c>
      <c r="V36" s="80">
        <v>10</v>
      </c>
      <c r="W36" s="80">
        <v>6</v>
      </c>
      <c r="X36" s="80">
        <f t="shared" si="6"/>
        <v>26</v>
      </c>
      <c r="Y36" s="144" t="str">
        <f t="shared" si="7"/>
        <v>Y</v>
      </c>
      <c r="Z36" s="101">
        <v>10</v>
      </c>
      <c r="AA36" s="101">
        <v>10</v>
      </c>
      <c r="AB36" s="101">
        <v>10</v>
      </c>
      <c r="AC36" s="147">
        <f t="shared" si="8"/>
        <v>30</v>
      </c>
      <c r="AD36" s="87" t="str">
        <f t="shared" si="9"/>
        <v>Y</v>
      </c>
    </row>
    <row r="37" spans="1:30" ht="15.75" customHeight="1">
      <c r="A37" s="28">
        <v>28</v>
      </c>
      <c r="B37" s="125" t="s">
        <v>44</v>
      </c>
      <c r="C37" s="119" t="s">
        <v>200</v>
      </c>
      <c r="D37" s="80">
        <v>6</v>
      </c>
      <c r="E37" s="42">
        <v>6</v>
      </c>
      <c r="F37" s="86">
        <f t="shared" si="0"/>
        <v>12</v>
      </c>
      <c r="G37" s="87" t="str">
        <f t="shared" si="1"/>
        <v>Y</v>
      </c>
      <c r="H37" s="80">
        <v>6</v>
      </c>
      <c r="I37" s="86">
        <v>6</v>
      </c>
      <c r="J37" s="87" t="str">
        <f t="shared" si="2"/>
        <v>Y</v>
      </c>
      <c r="K37" s="88">
        <v>10</v>
      </c>
      <c r="L37" s="91">
        <v>10</v>
      </c>
      <c r="M37" s="92">
        <v>10</v>
      </c>
      <c r="N37" s="94">
        <v>9</v>
      </c>
      <c r="O37" s="94">
        <v>6</v>
      </c>
      <c r="P37" s="93">
        <f t="shared" si="3"/>
        <v>45</v>
      </c>
      <c r="Q37" s="87" t="str">
        <f t="shared" si="4"/>
        <v>Y</v>
      </c>
      <c r="R37" s="80">
        <v>10</v>
      </c>
      <c r="S37" s="80">
        <v>10</v>
      </c>
      <c r="T37" s="87" t="str">
        <f t="shared" si="5"/>
        <v>Y</v>
      </c>
      <c r="U37" s="80">
        <v>10</v>
      </c>
      <c r="V37" s="80">
        <v>10</v>
      </c>
      <c r="W37" s="80">
        <v>9</v>
      </c>
      <c r="X37" s="80">
        <f t="shared" si="6"/>
        <v>29</v>
      </c>
      <c r="Y37" s="144" t="str">
        <f t="shared" si="7"/>
        <v>Y</v>
      </c>
      <c r="Z37" s="101">
        <v>5</v>
      </c>
      <c r="AA37" s="101">
        <v>5</v>
      </c>
      <c r="AB37" s="101">
        <v>6</v>
      </c>
      <c r="AC37" s="147">
        <f t="shared" si="8"/>
        <v>16</v>
      </c>
      <c r="AD37" s="87" t="str">
        <f t="shared" si="9"/>
        <v>N</v>
      </c>
    </row>
    <row r="38" spans="1:30" ht="15.75" customHeight="1">
      <c r="A38" s="28">
        <v>29</v>
      </c>
      <c r="B38" s="125" t="s">
        <v>45</v>
      </c>
      <c r="C38" s="117" t="s">
        <v>201</v>
      </c>
      <c r="D38" s="80">
        <v>7</v>
      </c>
      <c r="E38" s="42">
        <v>6</v>
      </c>
      <c r="F38" s="86">
        <f t="shared" si="0"/>
        <v>13</v>
      </c>
      <c r="G38" s="87" t="str">
        <f t="shared" si="1"/>
        <v>Y</v>
      </c>
      <c r="H38" s="80">
        <v>6</v>
      </c>
      <c r="I38" s="86">
        <v>6</v>
      </c>
      <c r="J38" s="87" t="str">
        <f t="shared" si="2"/>
        <v>Y</v>
      </c>
      <c r="K38" s="88">
        <v>8</v>
      </c>
      <c r="L38" s="91">
        <v>10</v>
      </c>
      <c r="M38" s="92">
        <v>6</v>
      </c>
      <c r="N38" s="94">
        <v>9</v>
      </c>
      <c r="O38" s="94">
        <v>2</v>
      </c>
      <c r="P38" s="93">
        <f t="shared" si="3"/>
        <v>35</v>
      </c>
      <c r="Q38" s="87" t="str">
        <f t="shared" si="4"/>
        <v>Y</v>
      </c>
      <c r="R38" s="80">
        <v>9</v>
      </c>
      <c r="S38" s="80">
        <v>9</v>
      </c>
      <c r="T38" s="87" t="str">
        <f t="shared" si="5"/>
        <v>Y</v>
      </c>
      <c r="U38" s="80">
        <v>10</v>
      </c>
      <c r="V38" s="80">
        <v>10</v>
      </c>
      <c r="W38" s="80">
        <v>10</v>
      </c>
      <c r="X38" s="80">
        <f t="shared" si="6"/>
        <v>30</v>
      </c>
      <c r="Y38" s="144" t="str">
        <f t="shared" si="7"/>
        <v>Y</v>
      </c>
      <c r="Z38" s="101">
        <v>5</v>
      </c>
      <c r="AA38" s="101">
        <v>6</v>
      </c>
      <c r="AB38" s="101">
        <v>6</v>
      </c>
      <c r="AC38" s="147">
        <f t="shared" si="8"/>
        <v>17</v>
      </c>
      <c r="AD38" s="87" t="str">
        <f t="shared" si="9"/>
        <v>N</v>
      </c>
    </row>
    <row r="39" spans="1:30" ht="15.75" customHeight="1">
      <c r="A39" s="28">
        <v>30</v>
      </c>
      <c r="B39" s="131" t="s">
        <v>46</v>
      </c>
      <c r="C39" s="132" t="s">
        <v>202</v>
      </c>
      <c r="D39" s="80">
        <v>10</v>
      </c>
      <c r="E39" s="42">
        <v>6</v>
      </c>
      <c r="F39" s="86">
        <f t="shared" si="0"/>
        <v>16</v>
      </c>
      <c r="G39" s="87" t="str">
        <f t="shared" si="1"/>
        <v>Y</v>
      </c>
      <c r="H39" s="80">
        <v>6</v>
      </c>
      <c r="I39" s="86">
        <v>6</v>
      </c>
      <c r="J39" s="87" t="str">
        <f t="shared" si="2"/>
        <v>Y</v>
      </c>
      <c r="K39" s="88">
        <v>8</v>
      </c>
      <c r="L39" s="91">
        <v>10</v>
      </c>
      <c r="M39" s="92">
        <v>8</v>
      </c>
      <c r="N39" s="94">
        <v>7</v>
      </c>
      <c r="O39" s="94">
        <v>6</v>
      </c>
      <c r="P39" s="93">
        <f t="shared" si="3"/>
        <v>39</v>
      </c>
      <c r="Q39" s="87" t="str">
        <f t="shared" si="4"/>
        <v>Y</v>
      </c>
      <c r="R39" s="80">
        <v>9</v>
      </c>
      <c r="S39" s="80">
        <v>9</v>
      </c>
      <c r="T39" s="87" t="str">
        <f t="shared" si="5"/>
        <v>Y</v>
      </c>
      <c r="U39" s="80">
        <v>10</v>
      </c>
      <c r="V39" s="80">
        <v>10</v>
      </c>
      <c r="W39" s="80">
        <v>10</v>
      </c>
      <c r="X39" s="80">
        <f t="shared" si="6"/>
        <v>30</v>
      </c>
      <c r="Y39" s="144" t="str">
        <f t="shared" si="7"/>
        <v>Y</v>
      </c>
      <c r="Z39" s="101">
        <v>10</v>
      </c>
      <c r="AA39" s="101">
        <v>10</v>
      </c>
      <c r="AB39" s="101">
        <v>10</v>
      </c>
      <c r="AC39" s="147">
        <f t="shared" si="8"/>
        <v>30</v>
      </c>
      <c r="AD39" s="87" t="str">
        <f t="shared" si="9"/>
        <v>Y</v>
      </c>
    </row>
    <row r="40" spans="1:30" ht="15.75" customHeight="1">
      <c r="A40" s="28">
        <v>31</v>
      </c>
      <c r="B40" s="125" t="s">
        <v>47</v>
      </c>
      <c r="C40" s="120" t="s">
        <v>203</v>
      </c>
      <c r="D40" s="80">
        <v>7</v>
      </c>
      <c r="E40" s="42">
        <v>6</v>
      </c>
      <c r="F40" s="86">
        <f t="shared" si="0"/>
        <v>13</v>
      </c>
      <c r="G40" s="87" t="str">
        <f t="shared" si="1"/>
        <v>Y</v>
      </c>
      <c r="H40" s="80">
        <v>6</v>
      </c>
      <c r="I40" s="86">
        <v>6</v>
      </c>
      <c r="J40" s="87" t="str">
        <f t="shared" si="2"/>
        <v>Y</v>
      </c>
      <c r="K40" s="88">
        <v>8</v>
      </c>
      <c r="L40" s="91">
        <v>10</v>
      </c>
      <c r="M40" s="92">
        <v>8</v>
      </c>
      <c r="N40" s="94">
        <v>10</v>
      </c>
      <c r="O40" s="94">
        <v>6</v>
      </c>
      <c r="P40" s="93">
        <f t="shared" si="3"/>
        <v>42</v>
      </c>
      <c r="Q40" s="87" t="str">
        <f t="shared" si="4"/>
        <v>Y</v>
      </c>
      <c r="R40" s="80">
        <v>9</v>
      </c>
      <c r="S40" s="80">
        <v>9</v>
      </c>
      <c r="T40" s="87" t="str">
        <f t="shared" si="5"/>
        <v>Y</v>
      </c>
      <c r="U40" s="80">
        <v>10</v>
      </c>
      <c r="V40" s="80">
        <v>10</v>
      </c>
      <c r="W40" s="80">
        <v>10</v>
      </c>
      <c r="X40" s="80">
        <f t="shared" si="6"/>
        <v>30</v>
      </c>
      <c r="Y40" s="144" t="str">
        <f t="shared" si="7"/>
        <v>Y</v>
      </c>
      <c r="Z40" s="101">
        <v>7</v>
      </c>
      <c r="AA40" s="101">
        <v>8</v>
      </c>
      <c r="AB40" s="101">
        <v>7</v>
      </c>
      <c r="AC40" s="147">
        <f t="shared" si="8"/>
        <v>22</v>
      </c>
      <c r="AD40" s="87" t="str">
        <f t="shared" si="9"/>
        <v>Y</v>
      </c>
    </row>
    <row r="41" spans="1:30" ht="15.75" customHeight="1">
      <c r="A41" s="28">
        <v>32</v>
      </c>
      <c r="B41" s="125" t="s">
        <v>48</v>
      </c>
      <c r="C41" s="120" t="s">
        <v>204</v>
      </c>
      <c r="D41" s="80">
        <v>10</v>
      </c>
      <c r="E41" s="42">
        <v>10</v>
      </c>
      <c r="F41" s="86">
        <f t="shared" si="0"/>
        <v>20</v>
      </c>
      <c r="G41" s="87" t="str">
        <f t="shared" si="1"/>
        <v>Y</v>
      </c>
      <c r="H41" s="80">
        <v>6</v>
      </c>
      <c r="I41" s="86">
        <v>6</v>
      </c>
      <c r="J41" s="87" t="str">
        <f t="shared" si="2"/>
        <v>Y</v>
      </c>
      <c r="K41" s="88">
        <v>10</v>
      </c>
      <c r="L41" s="91">
        <v>10</v>
      </c>
      <c r="M41" s="92">
        <v>6</v>
      </c>
      <c r="N41" s="94">
        <v>9</v>
      </c>
      <c r="O41" s="94">
        <v>7</v>
      </c>
      <c r="P41" s="93">
        <f t="shared" si="3"/>
        <v>42</v>
      </c>
      <c r="Q41" s="87" t="str">
        <f t="shared" si="4"/>
        <v>Y</v>
      </c>
      <c r="R41" s="80">
        <v>10</v>
      </c>
      <c r="S41" s="80">
        <v>10</v>
      </c>
      <c r="T41" s="87" t="str">
        <f t="shared" si="5"/>
        <v>Y</v>
      </c>
      <c r="U41" s="80">
        <v>10</v>
      </c>
      <c r="V41" s="80">
        <v>10</v>
      </c>
      <c r="W41" s="80">
        <v>8</v>
      </c>
      <c r="X41" s="80">
        <f t="shared" si="6"/>
        <v>28</v>
      </c>
      <c r="Y41" s="144" t="str">
        <f t="shared" si="7"/>
        <v>Y</v>
      </c>
      <c r="Z41" s="101">
        <v>7</v>
      </c>
      <c r="AA41" s="101">
        <v>7</v>
      </c>
      <c r="AB41" s="101">
        <v>7</v>
      </c>
      <c r="AC41" s="147">
        <f t="shared" si="8"/>
        <v>21</v>
      </c>
      <c r="AD41" s="87" t="str">
        <f t="shared" si="9"/>
        <v>Y</v>
      </c>
    </row>
    <row r="42" spans="1:30" ht="15.75" customHeight="1">
      <c r="A42" s="28">
        <v>33</v>
      </c>
      <c r="B42" s="131" t="s">
        <v>49</v>
      </c>
      <c r="C42" s="133" t="s">
        <v>205</v>
      </c>
      <c r="D42" s="80">
        <v>7</v>
      </c>
      <c r="E42" s="42">
        <v>10</v>
      </c>
      <c r="F42" s="86">
        <f t="shared" si="0"/>
        <v>17</v>
      </c>
      <c r="G42" s="87" t="str">
        <f t="shared" si="1"/>
        <v>Y</v>
      </c>
      <c r="H42" s="80">
        <v>6</v>
      </c>
      <c r="I42" s="86">
        <v>6</v>
      </c>
      <c r="J42" s="87" t="str">
        <f t="shared" si="2"/>
        <v>Y</v>
      </c>
      <c r="K42" s="88">
        <v>10</v>
      </c>
      <c r="L42" s="91">
        <v>10</v>
      </c>
      <c r="M42" s="92">
        <v>9</v>
      </c>
      <c r="N42" s="94">
        <v>9</v>
      </c>
      <c r="O42" s="94">
        <v>10</v>
      </c>
      <c r="P42" s="93">
        <f t="shared" si="3"/>
        <v>48</v>
      </c>
      <c r="Q42" s="87" t="str">
        <f t="shared" si="4"/>
        <v>Y</v>
      </c>
      <c r="R42" s="80">
        <v>9</v>
      </c>
      <c r="S42" s="80">
        <v>9</v>
      </c>
      <c r="T42" s="87" t="str">
        <f t="shared" si="5"/>
        <v>Y</v>
      </c>
      <c r="U42" s="80">
        <v>8</v>
      </c>
      <c r="V42" s="80">
        <v>9</v>
      </c>
      <c r="W42" s="80">
        <v>9</v>
      </c>
      <c r="X42" s="80">
        <f t="shared" si="6"/>
        <v>26</v>
      </c>
      <c r="Y42" s="144" t="str">
        <f t="shared" si="7"/>
        <v>Y</v>
      </c>
      <c r="Z42" s="101">
        <v>10</v>
      </c>
      <c r="AA42" s="101">
        <v>9</v>
      </c>
      <c r="AB42" s="101">
        <v>9</v>
      </c>
      <c r="AC42" s="147">
        <f t="shared" si="8"/>
        <v>28</v>
      </c>
      <c r="AD42" s="87" t="str">
        <f t="shared" si="9"/>
        <v>Y</v>
      </c>
    </row>
    <row r="43" spans="1:30" ht="15.75" customHeight="1">
      <c r="A43" s="28">
        <v>34</v>
      </c>
      <c r="B43" s="125" t="s">
        <v>50</v>
      </c>
      <c r="C43" s="117" t="s">
        <v>206</v>
      </c>
      <c r="D43" s="80">
        <v>7</v>
      </c>
      <c r="E43" s="42">
        <v>6</v>
      </c>
      <c r="F43" s="86">
        <f t="shared" si="0"/>
        <v>13</v>
      </c>
      <c r="G43" s="87" t="str">
        <f t="shared" si="1"/>
        <v>Y</v>
      </c>
      <c r="H43" s="80">
        <v>6</v>
      </c>
      <c r="I43" s="86">
        <v>6</v>
      </c>
      <c r="J43" s="87" t="str">
        <f t="shared" si="2"/>
        <v>Y</v>
      </c>
      <c r="K43" s="88">
        <v>10</v>
      </c>
      <c r="L43" s="91">
        <v>10</v>
      </c>
      <c r="M43" s="92">
        <v>10</v>
      </c>
      <c r="N43" s="94">
        <v>10</v>
      </c>
      <c r="O43" s="94">
        <v>8</v>
      </c>
      <c r="P43" s="93">
        <f t="shared" si="3"/>
        <v>48</v>
      </c>
      <c r="Q43" s="87" t="str">
        <f t="shared" si="4"/>
        <v>Y</v>
      </c>
      <c r="R43" s="80">
        <v>10</v>
      </c>
      <c r="S43" s="80">
        <v>10</v>
      </c>
      <c r="T43" s="87" t="str">
        <f t="shared" si="5"/>
        <v>Y</v>
      </c>
      <c r="U43" s="80">
        <v>10</v>
      </c>
      <c r="V43" s="80">
        <v>10</v>
      </c>
      <c r="W43" s="80">
        <v>10</v>
      </c>
      <c r="X43" s="80">
        <f t="shared" si="6"/>
        <v>30</v>
      </c>
      <c r="Y43" s="144" t="str">
        <f t="shared" si="7"/>
        <v>Y</v>
      </c>
      <c r="Z43" s="101">
        <v>6</v>
      </c>
      <c r="AA43" s="101">
        <v>10</v>
      </c>
      <c r="AB43" s="101">
        <v>10</v>
      </c>
      <c r="AC43" s="147">
        <f t="shared" si="8"/>
        <v>26</v>
      </c>
      <c r="AD43" s="87" t="str">
        <f t="shared" si="9"/>
        <v>Y</v>
      </c>
    </row>
    <row r="44" spans="1:30" ht="15.75" customHeight="1" thickBot="1">
      <c r="A44" s="28">
        <v>35</v>
      </c>
      <c r="B44" s="125" t="s">
        <v>51</v>
      </c>
      <c r="C44" s="117" t="s">
        <v>207</v>
      </c>
      <c r="D44" s="80">
        <v>7</v>
      </c>
      <c r="E44" s="42">
        <v>6</v>
      </c>
      <c r="F44" s="86">
        <f t="shared" si="0"/>
        <v>13</v>
      </c>
      <c r="G44" s="87" t="str">
        <f t="shared" si="1"/>
        <v>Y</v>
      </c>
      <c r="H44" s="80">
        <v>6</v>
      </c>
      <c r="I44" s="86">
        <v>6</v>
      </c>
      <c r="J44" s="87" t="str">
        <f t="shared" si="2"/>
        <v>Y</v>
      </c>
      <c r="K44" s="88">
        <v>8</v>
      </c>
      <c r="L44" s="91">
        <v>10</v>
      </c>
      <c r="M44" s="92">
        <v>6</v>
      </c>
      <c r="N44" s="94">
        <v>10</v>
      </c>
      <c r="O44" s="94">
        <v>10</v>
      </c>
      <c r="P44" s="93">
        <f t="shared" si="3"/>
        <v>44</v>
      </c>
      <c r="Q44" s="87" t="str">
        <f t="shared" si="4"/>
        <v>Y</v>
      </c>
      <c r="R44" s="80">
        <v>9</v>
      </c>
      <c r="S44" s="80">
        <v>9</v>
      </c>
      <c r="T44" s="87" t="str">
        <f t="shared" si="5"/>
        <v>Y</v>
      </c>
      <c r="U44" s="80">
        <v>8</v>
      </c>
      <c r="V44" s="80">
        <v>8</v>
      </c>
      <c r="W44" s="80">
        <v>6</v>
      </c>
      <c r="X44" s="80">
        <f t="shared" si="6"/>
        <v>22</v>
      </c>
      <c r="Y44" s="144" t="str">
        <f t="shared" si="7"/>
        <v>Y</v>
      </c>
      <c r="Z44" s="101">
        <v>6</v>
      </c>
      <c r="AA44" s="101">
        <v>7</v>
      </c>
      <c r="AB44" s="101">
        <v>9</v>
      </c>
      <c r="AC44" s="147">
        <f t="shared" si="8"/>
        <v>22</v>
      </c>
      <c r="AD44" s="87" t="str">
        <f t="shared" si="9"/>
        <v>Y</v>
      </c>
    </row>
    <row r="45" spans="1:30" ht="15.75" customHeight="1" thickBot="1">
      <c r="A45" s="28">
        <v>36</v>
      </c>
      <c r="B45" s="127" t="s">
        <v>52</v>
      </c>
      <c r="C45" s="121" t="s">
        <v>208</v>
      </c>
      <c r="D45" s="80">
        <v>7</v>
      </c>
      <c r="E45" s="42">
        <v>6</v>
      </c>
      <c r="F45" s="86">
        <f t="shared" si="0"/>
        <v>13</v>
      </c>
      <c r="G45" s="87" t="str">
        <f t="shared" si="1"/>
        <v>Y</v>
      </c>
      <c r="H45" s="80">
        <v>6</v>
      </c>
      <c r="I45" s="86">
        <v>6</v>
      </c>
      <c r="J45" s="87" t="str">
        <f t="shared" si="2"/>
        <v>Y</v>
      </c>
      <c r="K45" s="88">
        <v>8</v>
      </c>
      <c r="L45" s="91">
        <v>10</v>
      </c>
      <c r="M45" s="92">
        <v>6</v>
      </c>
      <c r="N45" s="94">
        <v>10</v>
      </c>
      <c r="O45" s="94">
        <v>10</v>
      </c>
      <c r="P45" s="93">
        <f t="shared" si="3"/>
        <v>44</v>
      </c>
      <c r="Q45" s="87" t="str">
        <f t="shared" si="4"/>
        <v>Y</v>
      </c>
      <c r="R45" s="80">
        <v>9</v>
      </c>
      <c r="S45" s="80">
        <v>9</v>
      </c>
      <c r="T45" s="87" t="str">
        <f t="shared" si="5"/>
        <v>Y</v>
      </c>
      <c r="U45" s="80">
        <v>8</v>
      </c>
      <c r="V45" s="80">
        <v>8</v>
      </c>
      <c r="W45" s="80">
        <v>6</v>
      </c>
      <c r="X45" s="80">
        <f t="shared" si="6"/>
        <v>22</v>
      </c>
      <c r="Y45" s="144" t="str">
        <f t="shared" si="7"/>
        <v>Y</v>
      </c>
      <c r="Z45" s="101">
        <v>6</v>
      </c>
      <c r="AA45" s="101">
        <v>9</v>
      </c>
      <c r="AB45" s="101">
        <v>9</v>
      </c>
      <c r="AC45" s="147">
        <f t="shared" si="8"/>
        <v>24</v>
      </c>
      <c r="AD45" s="87" t="str">
        <f t="shared" si="9"/>
        <v>Y</v>
      </c>
    </row>
    <row r="46" spans="1:30" ht="15.75" customHeight="1" thickBot="1">
      <c r="A46" s="28">
        <v>37</v>
      </c>
      <c r="B46" s="128" t="s">
        <v>53</v>
      </c>
      <c r="C46" s="122" t="s">
        <v>209</v>
      </c>
      <c r="D46" s="80"/>
      <c r="E46" s="42"/>
      <c r="F46" s="86">
        <f t="shared" si="0"/>
        <v>0</v>
      </c>
      <c r="G46" s="87" t="str">
        <f t="shared" si="1"/>
        <v>N</v>
      </c>
      <c r="H46" s="80"/>
      <c r="I46" s="86"/>
      <c r="J46" s="87" t="str">
        <f t="shared" si="2"/>
        <v>N</v>
      </c>
      <c r="K46" s="88"/>
      <c r="L46" s="91"/>
      <c r="M46" s="92"/>
      <c r="N46" s="94"/>
      <c r="O46" s="94"/>
      <c r="P46" s="93">
        <f t="shared" si="3"/>
        <v>0</v>
      </c>
      <c r="Q46" s="87" t="str">
        <f t="shared" si="4"/>
        <v>N</v>
      </c>
      <c r="R46" s="80"/>
      <c r="S46" s="80"/>
      <c r="T46" s="87" t="str">
        <f t="shared" si="5"/>
        <v>N</v>
      </c>
      <c r="U46" s="80"/>
      <c r="V46" s="80"/>
      <c r="W46" s="80"/>
      <c r="X46" s="80">
        <f t="shared" si="6"/>
        <v>0</v>
      </c>
      <c r="Y46" s="144" t="str">
        <f t="shared" si="7"/>
        <v>N</v>
      </c>
      <c r="Z46" s="101"/>
      <c r="AA46" s="101"/>
      <c r="AB46" s="101"/>
      <c r="AC46" s="147">
        <f t="shared" si="8"/>
        <v>0</v>
      </c>
      <c r="AD46" s="87" t="str">
        <f t="shared" si="9"/>
        <v>N</v>
      </c>
    </row>
    <row r="47" spans="1:30" ht="15.75" customHeight="1" thickBot="1">
      <c r="A47" s="28">
        <v>38</v>
      </c>
      <c r="B47" s="129" t="s">
        <v>54</v>
      </c>
      <c r="C47" s="123" t="s">
        <v>210</v>
      </c>
      <c r="D47" s="80">
        <v>7</v>
      </c>
      <c r="E47" s="42">
        <v>6</v>
      </c>
      <c r="F47" s="86">
        <f t="shared" si="0"/>
        <v>13</v>
      </c>
      <c r="G47" s="87" t="str">
        <f t="shared" si="1"/>
        <v>Y</v>
      </c>
      <c r="H47" s="80">
        <v>6</v>
      </c>
      <c r="I47" s="86">
        <v>6</v>
      </c>
      <c r="J47" s="87" t="str">
        <f t="shared" si="2"/>
        <v>Y</v>
      </c>
      <c r="K47" s="88">
        <v>8</v>
      </c>
      <c r="L47" s="91">
        <v>10</v>
      </c>
      <c r="M47" s="92">
        <v>6</v>
      </c>
      <c r="N47" s="94">
        <v>10</v>
      </c>
      <c r="O47" s="94">
        <v>8</v>
      </c>
      <c r="P47" s="93">
        <f t="shared" si="3"/>
        <v>42</v>
      </c>
      <c r="Q47" s="87" t="str">
        <f t="shared" si="4"/>
        <v>Y</v>
      </c>
      <c r="R47" s="80">
        <v>9</v>
      </c>
      <c r="S47" s="80">
        <v>9</v>
      </c>
      <c r="T47" s="87" t="str">
        <f t="shared" si="5"/>
        <v>Y</v>
      </c>
      <c r="U47" s="80">
        <v>8</v>
      </c>
      <c r="V47" s="80">
        <v>8</v>
      </c>
      <c r="W47" s="80">
        <v>6</v>
      </c>
      <c r="X47" s="80">
        <f t="shared" si="6"/>
        <v>22</v>
      </c>
      <c r="Y47" s="144" t="str">
        <f t="shared" si="7"/>
        <v>Y</v>
      </c>
      <c r="Z47" s="101">
        <v>6</v>
      </c>
      <c r="AA47" s="101">
        <v>7</v>
      </c>
      <c r="AB47" s="101">
        <v>9</v>
      </c>
      <c r="AC47" s="147">
        <f t="shared" si="8"/>
        <v>22</v>
      </c>
      <c r="AD47" s="87" t="str">
        <f t="shared" si="9"/>
        <v>Y</v>
      </c>
    </row>
    <row r="48" spans="1:30" ht="15.75" customHeight="1" thickBot="1">
      <c r="A48" s="28">
        <v>39</v>
      </c>
      <c r="B48" s="129" t="s">
        <v>55</v>
      </c>
      <c r="C48" s="123" t="s">
        <v>211</v>
      </c>
      <c r="D48" s="80">
        <v>7</v>
      </c>
      <c r="E48" s="42">
        <v>6</v>
      </c>
      <c r="F48" s="86">
        <f t="shared" si="0"/>
        <v>13</v>
      </c>
      <c r="G48" s="87" t="str">
        <f t="shared" si="1"/>
        <v>Y</v>
      </c>
      <c r="H48" s="80">
        <v>6</v>
      </c>
      <c r="I48" s="86">
        <v>6</v>
      </c>
      <c r="J48" s="87" t="str">
        <f t="shared" si="2"/>
        <v>Y</v>
      </c>
      <c r="K48" s="88">
        <v>8</v>
      </c>
      <c r="L48" s="91">
        <v>10</v>
      </c>
      <c r="M48" s="92">
        <v>6</v>
      </c>
      <c r="N48" s="94">
        <v>10</v>
      </c>
      <c r="O48" s="94">
        <v>8</v>
      </c>
      <c r="P48" s="93">
        <f t="shared" si="3"/>
        <v>42</v>
      </c>
      <c r="Q48" s="87" t="str">
        <f t="shared" si="4"/>
        <v>Y</v>
      </c>
      <c r="R48" s="80">
        <v>9</v>
      </c>
      <c r="S48" s="80">
        <v>9</v>
      </c>
      <c r="T48" s="87" t="str">
        <f t="shared" si="5"/>
        <v>Y</v>
      </c>
      <c r="U48" s="80">
        <v>8</v>
      </c>
      <c r="V48" s="80">
        <v>8</v>
      </c>
      <c r="W48" s="80">
        <v>6</v>
      </c>
      <c r="X48" s="80">
        <f t="shared" si="6"/>
        <v>22</v>
      </c>
      <c r="Y48" s="144" t="str">
        <f t="shared" si="7"/>
        <v>Y</v>
      </c>
      <c r="Z48" s="101">
        <v>6</v>
      </c>
      <c r="AA48" s="101">
        <v>7</v>
      </c>
      <c r="AB48" s="101">
        <v>7</v>
      </c>
      <c r="AC48" s="147">
        <f t="shared" si="8"/>
        <v>20</v>
      </c>
      <c r="AD48" s="87" t="str">
        <f t="shared" si="9"/>
        <v>Y</v>
      </c>
    </row>
    <row r="49" spans="1:30" ht="15.75" customHeight="1" thickBot="1">
      <c r="A49" s="28">
        <v>40</v>
      </c>
      <c r="B49" s="129" t="s">
        <v>56</v>
      </c>
      <c r="C49" s="123" t="s">
        <v>212</v>
      </c>
      <c r="D49" s="80">
        <v>9</v>
      </c>
      <c r="E49" s="42">
        <v>6</v>
      </c>
      <c r="F49" s="86">
        <f t="shared" si="0"/>
        <v>15</v>
      </c>
      <c r="G49" s="87" t="str">
        <f t="shared" si="1"/>
        <v>Y</v>
      </c>
      <c r="H49" s="80">
        <v>8</v>
      </c>
      <c r="I49" s="86">
        <v>8</v>
      </c>
      <c r="J49" s="87" t="str">
        <f t="shared" si="2"/>
        <v>Y</v>
      </c>
      <c r="K49" s="88">
        <v>8</v>
      </c>
      <c r="L49" s="91">
        <v>10</v>
      </c>
      <c r="M49" s="92">
        <v>8</v>
      </c>
      <c r="N49" s="94">
        <v>6</v>
      </c>
      <c r="O49" s="94">
        <v>10</v>
      </c>
      <c r="P49" s="93">
        <f t="shared" si="3"/>
        <v>42</v>
      </c>
      <c r="Q49" s="87" t="str">
        <f t="shared" si="4"/>
        <v>Y</v>
      </c>
      <c r="R49" s="80">
        <v>9</v>
      </c>
      <c r="S49" s="80">
        <v>9</v>
      </c>
      <c r="T49" s="87" t="str">
        <f t="shared" si="5"/>
        <v>Y</v>
      </c>
      <c r="U49" s="80">
        <v>8</v>
      </c>
      <c r="V49" s="80">
        <v>10</v>
      </c>
      <c r="W49" s="80">
        <v>5</v>
      </c>
      <c r="X49" s="80">
        <f t="shared" si="6"/>
        <v>23</v>
      </c>
      <c r="Y49" s="144" t="str">
        <f t="shared" si="7"/>
        <v>Y</v>
      </c>
      <c r="Z49" s="101">
        <v>7</v>
      </c>
      <c r="AA49" s="101">
        <v>6</v>
      </c>
      <c r="AB49" s="101">
        <v>8</v>
      </c>
      <c r="AC49" s="147">
        <f t="shared" si="8"/>
        <v>21</v>
      </c>
      <c r="AD49" s="87" t="str">
        <f t="shared" si="9"/>
        <v>Y</v>
      </c>
    </row>
    <row r="50" spans="1:30" ht="15.75" customHeight="1" thickBot="1">
      <c r="A50" s="28">
        <v>41</v>
      </c>
      <c r="B50" s="129" t="s">
        <v>57</v>
      </c>
      <c r="C50" s="123" t="s">
        <v>213</v>
      </c>
      <c r="D50" s="80">
        <v>9</v>
      </c>
      <c r="E50" s="42">
        <v>6</v>
      </c>
      <c r="F50" s="86">
        <f t="shared" si="0"/>
        <v>15</v>
      </c>
      <c r="G50" s="87" t="str">
        <f t="shared" si="1"/>
        <v>Y</v>
      </c>
      <c r="H50" s="80">
        <v>6</v>
      </c>
      <c r="I50" s="86">
        <v>6</v>
      </c>
      <c r="J50" s="87" t="str">
        <f t="shared" si="2"/>
        <v>Y</v>
      </c>
      <c r="K50" s="88">
        <v>8</v>
      </c>
      <c r="L50" s="91">
        <v>8</v>
      </c>
      <c r="M50" s="92">
        <v>8</v>
      </c>
      <c r="N50" s="94">
        <v>9</v>
      </c>
      <c r="O50" s="94">
        <v>9</v>
      </c>
      <c r="P50" s="93">
        <f t="shared" si="3"/>
        <v>42</v>
      </c>
      <c r="Q50" s="87" t="str">
        <f t="shared" si="4"/>
        <v>Y</v>
      </c>
      <c r="R50" s="80">
        <v>9</v>
      </c>
      <c r="S50" s="80">
        <v>9</v>
      </c>
      <c r="T50" s="87" t="str">
        <f t="shared" si="5"/>
        <v>Y</v>
      </c>
      <c r="U50" s="80">
        <v>8</v>
      </c>
      <c r="V50" s="80">
        <v>7</v>
      </c>
      <c r="W50" s="80">
        <v>7</v>
      </c>
      <c r="X50" s="80">
        <f t="shared" si="6"/>
        <v>22</v>
      </c>
      <c r="Y50" s="144" t="str">
        <f t="shared" si="7"/>
        <v>Y</v>
      </c>
      <c r="Z50" s="101">
        <v>7</v>
      </c>
      <c r="AA50" s="101">
        <v>9</v>
      </c>
      <c r="AB50" s="101">
        <v>9</v>
      </c>
      <c r="AC50" s="147">
        <f t="shared" si="8"/>
        <v>25</v>
      </c>
      <c r="AD50" s="87" t="str">
        <f t="shared" si="9"/>
        <v>Y</v>
      </c>
    </row>
    <row r="51" spans="1:30" ht="15.75" customHeight="1" thickBot="1">
      <c r="A51" s="28">
        <v>42</v>
      </c>
      <c r="B51" s="129" t="s">
        <v>58</v>
      </c>
      <c r="C51" s="123" t="s">
        <v>214</v>
      </c>
      <c r="D51" s="80">
        <v>7</v>
      </c>
      <c r="E51" s="42">
        <v>6</v>
      </c>
      <c r="F51" s="86">
        <f t="shared" si="0"/>
        <v>13</v>
      </c>
      <c r="G51" s="87" t="str">
        <f t="shared" si="1"/>
        <v>Y</v>
      </c>
      <c r="H51" s="80">
        <v>6</v>
      </c>
      <c r="I51" s="86">
        <v>6</v>
      </c>
      <c r="J51" s="87" t="str">
        <f t="shared" si="2"/>
        <v>Y</v>
      </c>
      <c r="K51" s="88">
        <v>8</v>
      </c>
      <c r="L51" s="91">
        <v>10</v>
      </c>
      <c r="M51" s="92">
        <v>6</v>
      </c>
      <c r="N51" s="94">
        <v>10</v>
      </c>
      <c r="O51" s="94">
        <v>10</v>
      </c>
      <c r="P51" s="93">
        <f t="shared" si="3"/>
        <v>44</v>
      </c>
      <c r="Q51" s="87" t="str">
        <f t="shared" si="4"/>
        <v>Y</v>
      </c>
      <c r="R51" s="80">
        <v>9</v>
      </c>
      <c r="S51" s="80">
        <v>9</v>
      </c>
      <c r="T51" s="87" t="str">
        <f t="shared" si="5"/>
        <v>Y</v>
      </c>
      <c r="U51" s="80">
        <v>8</v>
      </c>
      <c r="V51" s="80">
        <v>8</v>
      </c>
      <c r="W51" s="80">
        <v>6</v>
      </c>
      <c r="X51" s="80">
        <f t="shared" si="6"/>
        <v>22</v>
      </c>
      <c r="Y51" s="144" t="str">
        <f t="shared" si="7"/>
        <v>Y</v>
      </c>
      <c r="Z51" s="101">
        <v>9</v>
      </c>
      <c r="AA51" s="101">
        <v>6</v>
      </c>
      <c r="AB51" s="101">
        <v>10</v>
      </c>
      <c r="AC51" s="147">
        <f t="shared" si="8"/>
        <v>25</v>
      </c>
      <c r="AD51" s="87" t="str">
        <f t="shared" si="9"/>
        <v>Y</v>
      </c>
    </row>
    <row r="52" spans="1:30" ht="15.75" customHeight="1" thickBot="1">
      <c r="A52" s="28">
        <v>43</v>
      </c>
      <c r="B52" s="129" t="s">
        <v>59</v>
      </c>
      <c r="C52" s="124" t="s">
        <v>215</v>
      </c>
      <c r="D52" s="80">
        <v>7</v>
      </c>
      <c r="E52" s="42">
        <v>6</v>
      </c>
      <c r="F52" s="86">
        <f t="shared" si="0"/>
        <v>13</v>
      </c>
      <c r="G52" s="87" t="str">
        <f t="shared" si="1"/>
        <v>Y</v>
      </c>
      <c r="H52" s="80">
        <v>6</v>
      </c>
      <c r="I52" s="86">
        <v>6</v>
      </c>
      <c r="J52" s="87" t="str">
        <f t="shared" si="2"/>
        <v>Y</v>
      </c>
      <c r="K52" s="88">
        <v>8</v>
      </c>
      <c r="L52" s="91">
        <v>8</v>
      </c>
      <c r="M52" s="92">
        <v>8</v>
      </c>
      <c r="N52" s="94">
        <v>9</v>
      </c>
      <c r="O52" s="94">
        <v>9</v>
      </c>
      <c r="P52" s="93">
        <f t="shared" si="3"/>
        <v>42</v>
      </c>
      <c r="Q52" s="87" t="str">
        <f t="shared" si="4"/>
        <v>Y</v>
      </c>
      <c r="R52" s="80">
        <v>9</v>
      </c>
      <c r="S52" s="80">
        <v>9</v>
      </c>
      <c r="T52" s="87" t="str">
        <f t="shared" si="5"/>
        <v>Y</v>
      </c>
      <c r="U52" s="80">
        <v>10</v>
      </c>
      <c r="V52" s="80">
        <v>9</v>
      </c>
      <c r="W52" s="80">
        <v>9</v>
      </c>
      <c r="X52" s="80">
        <f t="shared" si="6"/>
        <v>28</v>
      </c>
      <c r="Y52" s="144" t="str">
        <f t="shared" si="7"/>
        <v>Y</v>
      </c>
      <c r="Z52" s="101">
        <v>6</v>
      </c>
      <c r="AA52" s="101">
        <v>9</v>
      </c>
      <c r="AB52" s="101">
        <v>9</v>
      </c>
      <c r="AC52" s="147">
        <f t="shared" si="8"/>
        <v>24</v>
      </c>
      <c r="AD52" s="87" t="str">
        <f t="shared" si="9"/>
        <v>Y</v>
      </c>
    </row>
    <row r="53" spans="1:30" ht="15.75" customHeight="1" thickBot="1">
      <c r="A53" s="28">
        <v>44</v>
      </c>
      <c r="B53" s="129" t="s">
        <v>60</v>
      </c>
      <c r="C53" s="123" t="s">
        <v>216</v>
      </c>
      <c r="D53" s="80">
        <v>7</v>
      </c>
      <c r="E53" s="42">
        <v>6</v>
      </c>
      <c r="F53" s="86">
        <f t="shared" si="0"/>
        <v>13</v>
      </c>
      <c r="G53" s="87" t="str">
        <f t="shared" si="1"/>
        <v>Y</v>
      </c>
      <c r="H53" s="80">
        <v>6</v>
      </c>
      <c r="I53" s="86">
        <v>6</v>
      </c>
      <c r="J53" s="87" t="str">
        <f t="shared" si="2"/>
        <v>Y</v>
      </c>
      <c r="K53" s="88">
        <v>6</v>
      </c>
      <c r="L53" s="91">
        <v>6</v>
      </c>
      <c r="M53" s="92">
        <v>6</v>
      </c>
      <c r="N53" s="94">
        <v>8</v>
      </c>
      <c r="O53" s="94">
        <v>10</v>
      </c>
      <c r="P53" s="93">
        <f t="shared" si="3"/>
        <v>36</v>
      </c>
      <c r="Q53" s="87" t="str">
        <f t="shared" si="4"/>
        <v>Y</v>
      </c>
      <c r="R53" s="80">
        <v>10</v>
      </c>
      <c r="S53" s="80">
        <v>10</v>
      </c>
      <c r="T53" s="87" t="str">
        <f t="shared" si="5"/>
        <v>Y</v>
      </c>
      <c r="U53" s="80">
        <v>10</v>
      </c>
      <c r="V53" s="80">
        <v>10</v>
      </c>
      <c r="W53" s="80">
        <v>8</v>
      </c>
      <c r="X53" s="80">
        <f t="shared" si="6"/>
        <v>28</v>
      </c>
      <c r="Y53" s="144" t="str">
        <f t="shared" si="7"/>
        <v>Y</v>
      </c>
      <c r="Z53" s="101">
        <v>10</v>
      </c>
      <c r="AA53" s="101">
        <v>10</v>
      </c>
      <c r="AB53" s="101">
        <v>10</v>
      </c>
      <c r="AC53" s="147">
        <f t="shared" si="8"/>
        <v>30</v>
      </c>
      <c r="AD53" s="87" t="str">
        <f t="shared" si="9"/>
        <v>Y</v>
      </c>
    </row>
    <row r="54" spans="1:30" ht="15.75" customHeight="1" thickBot="1">
      <c r="A54" s="28">
        <v>45</v>
      </c>
      <c r="B54" s="129" t="s">
        <v>61</v>
      </c>
      <c r="C54" s="123" t="s">
        <v>217</v>
      </c>
      <c r="D54" s="80">
        <v>7</v>
      </c>
      <c r="E54" s="42">
        <v>6</v>
      </c>
      <c r="F54" s="86">
        <f t="shared" si="0"/>
        <v>13</v>
      </c>
      <c r="G54" s="87" t="str">
        <f t="shared" si="1"/>
        <v>Y</v>
      </c>
      <c r="H54" s="80">
        <v>6</v>
      </c>
      <c r="I54" s="86">
        <v>6</v>
      </c>
      <c r="J54" s="87" t="str">
        <f t="shared" si="2"/>
        <v>Y</v>
      </c>
      <c r="K54" s="88">
        <v>8</v>
      </c>
      <c r="L54" s="91">
        <v>10</v>
      </c>
      <c r="M54" s="92">
        <v>8</v>
      </c>
      <c r="N54" s="94">
        <v>5</v>
      </c>
      <c r="O54" s="94">
        <v>6</v>
      </c>
      <c r="P54" s="93">
        <f t="shared" si="3"/>
        <v>37</v>
      </c>
      <c r="Q54" s="87" t="str">
        <f t="shared" si="4"/>
        <v>Y</v>
      </c>
      <c r="R54" s="80">
        <v>9</v>
      </c>
      <c r="S54" s="80">
        <v>9</v>
      </c>
      <c r="T54" s="87" t="str">
        <f t="shared" si="5"/>
        <v>Y</v>
      </c>
      <c r="U54" s="80">
        <v>6</v>
      </c>
      <c r="V54" s="80">
        <v>8</v>
      </c>
      <c r="W54" s="80">
        <v>6</v>
      </c>
      <c r="X54" s="80">
        <f t="shared" si="6"/>
        <v>20</v>
      </c>
      <c r="Y54" s="144" t="str">
        <f t="shared" si="7"/>
        <v>Y</v>
      </c>
      <c r="Z54" s="101">
        <v>8</v>
      </c>
      <c r="AA54" s="101">
        <v>8</v>
      </c>
      <c r="AB54" s="101">
        <v>8</v>
      </c>
      <c r="AC54" s="147">
        <f t="shared" si="8"/>
        <v>24</v>
      </c>
      <c r="AD54" s="87" t="str">
        <f t="shared" si="9"/>
        <v>Y</v>
      </c>
    </row>
    <row r="55" spans="1:30" ht="15.75" customHeight="1" thickBot="1">
      <c r="A55" s="28">
        <v>46</v>
      </c>
      <c r="B55" s="129" t="s">
        <v>62</v>
      </c>
      <c r="C55" s="123" t="s">
        <v>218</v>
      </c>
      <c r="D55" s="80">
        <v>7</v>
      </c>
      <c r="E55" s="42">
        <v>6</v>
      </c>
      <c r="F55" s="86">
        <f t="shared" si="0"/>
        <v>13</v>
      </c>
      <c r="G55" s="87" t="str">
        <f t="shared" si="1"/>
        <v>Y</v>
      </c>
      <c r="H55" s="80">
        <v>6</v>
      </c>
      <c r="I55" s="86">
        <v>6</v>
      </c>
      <c r="J55" s="87" t="str">
        <f t="shared" si="2"/>
        <v>Y</v>
      </c>
      <c r="K55" s="88">
        <v>6</v>
      </c>
      <c r="L55" s="91">
        <v>6</v>
      </c>
      <c r="M55" s="92">
        <v>6</v>
      </c>
      <c r="N55" s="94">
        <v>7</v>
      </c>
      <c r="O55" s="94">
        <v>6</v>
      </c>
      <c r="P55" s="93">
        <f t="shared" si="3"/>
        <v>31</v>
      </c>
      <c r="Q55" s="87" t="str">
        <f t="shared" si="4"/>
        <v>Y</v>
      </c>
      <c r="R55" s="80">
        <v>8</v>
      </c>
      <c r="S55" s="80">
        <v>8</v>
      </c>
      <c r="T55" s="87" t="str">
        <f t="shared" si="5"/>
        <v>Y</v>
      </c>
      <c r="U55" s="80">
        <v>10</v>
      </c>
      <c r="V55" s="80">
        <v>10</v>
      </c>
      <c r="W55" s="80">
        <v>7</v>
      </c>
      <c r="X55" s="80">
        <f t="shared" si="6"/>
        <v>27</v>
      </c>
      <c r="Y55" s="144" t="str">
        <f t="shared" si="7"/>
        <v>Y</v>
      </c>
      <c r="Z55" s="101">
        <v>8</v>
      </c>
      <c r="AA55" s="101">
        <v>8</v>
      </c>
      <c r="AB55" s="101">
        <v>8</v>
      </c>
      <c r="AC55" s="147">
        <f t="shared" si="8"/>
        <v>24</v>
      </c>
      <c r="AD55" s="87" t="str">
        <f t="shared" si="9"/>
        <v>Y</v>
      </c>
    </row>
    <row r="56" spans="1:30" ht="15.75" customHeight="1" thickBot="1">
      <c r="A56" s="28">
        <v>47</v>
      </c>
      <c r="B56" s="129" t="s">
        <v>63</v>
      </c>
      <c r="C56" s="123" t="s">
        <v>219</v>
      </c>
      <c r="D56" s="80">
        <v>7</v>
      </c>
      <c r="E56" s="42">
        <v>8</v>
      </c>
      <c r="F56" s="86">
        <f t="shared" si="0"/>
        <v>15</v>
      </c>
      <c r="G56" s="87" t="str">
        <f t="shared" si="1"/>
        <v>Y</v>
      </c>
      <c r="H56" s="80">
        <v>6</v>
      </c>
      <c r="I56" s="86">
        <v>6</v>
      </c>
      <c r="J56" s="87" t="str">
        <f t="shared" si="2"/>
        <v>Y</v>
      </c>
      <c r="K56" s="88">
        <v>8</v>
      </c>
      <c r="L56" s="91">
        <v>6</v>
      </c>
      <c r="M56" s="92">
        <v>6</v>
      </c>
      <c r="N56" s="94">
        <v>10</v>
      </c>
      <c r="O56" s="94">
        <v>8</v>
      </c>
      <c r="P56" s="93">
        <f t="shared" si="3"/>
        <v>38</v>
      </c>
      <c r="Q56" s="87" t="str">
        <f t="shared" si="4"/>
        <v>Y</v>
      </c>
      <c r="R56" s="80">
        <v>6</v>
      </c>
      <c r="S56" s="80">
        <v>6</v>
      </c>
      <c r="T56" s="87" t="str">
        <f t="shared" si="5"/>
        <v>Y</v>
      </c>
      <c r="U56" s="80">
        <v>8</v>
      </c>
      <c r="V56" s="80">
        <v>10</v>
      </c>
      <c r="W56" s="80">
        <v>10</v>
      </c>
      <c r="X56" s="80">
        <f t="shared" si="6"/>
        <v>28</v>
      </c>
      <c r="Y56" s="144" t="str">
        <f t="shared" si="7"/>
        <v>Y</v>
      </c>
      <c r="Z56" s="101">
        <v>7</v>
      </c>
      <c r="AA56" s="101">
        <v>9</v>
      </c>
      <c r="AB56" s="101">
        <v>9</v>
      </c>
      <c r="AC56" s="147">
        <f t="shared" si="8"/>
        <v>25</v>
      </c>
      <c r="AD56" s="87" t="str">
        <f t="shared" si="9"/>
        <v>Y</v>
      </c>
    </row>
    <row r="57" spans="1:30" ht="15.75" customHeight="1" thickBot="1">
      <c r="A57" s="28">
        <v>48</v>
      </c>
      <c r="B57" s="129" t="s">
        <v>64</v>
      </c>
      <c r="C57" s="123" t="s">
        <v>220</v>
      </c>
      <c r="D57" s="80">
        <v>9</v>
      </c>
      <c r="E57" s="42">
        <v>6</v>
      </c>
      <c r="F57" s="86">
        <f t="shared" si="0"/>
        <v>15</v>
      </c>
      <c r="G57" s="87" t="str">
        <f t="shared" si="1"/>
        <v>Y</v>
      </c>
      <c r="H57" s="80">
        <v>6</v>
      </c>
      <c r="I57" s="86">
        <v>6</v>
      </c>
      <c r="J57" s="87" t="str">
        <f t="shared" si="2"/>
        <v>Y</v>
      </c>
      <c r="K57" s="88">
        <v>8</v>
      </c>
      <c r="L57" s="91">
        <v>8</v>
      </c>
      <c r="M57" s="92">
        <v>8</v>
      </c>
      <c r="N57" s="94">
        <v>8</v>
      </c>
      <c r="O57" s="94">
        <v>9</v>
      </c>
      <c r="P57" s="93">
        <f t="shared" si="3"/>
        <v>41</v>
      </c>
      <c r="Q57" s="87" t="str">
        <f t="shared" si="4"/>
        <v>Y</v>
      </c>
      <c r="R57" s="80">
        <v>9</v>
      </c>
      <c r="S57" s="80">
        <v>9</v>
      </c>
      <c r="T57" s="87" t="str">
        <f t="shared" si="5"/>
        <v>Y</v>
      </c>
      <c r="U57" s="80">
        <v>10</v>
      </c>
      <c r="V57" s="80">
        <v>10</v>
      </c>
      <c r="W57" s="80">
        <v>7</v>
      </c>
      <c r="X57" s="80">
        <f t="shared" si="6"/>
        <v>27</v>
      </c>
      <c r="Y57" s="144" t="str">
        <f t="shared" si="7"/>
        <v>Y</v>
      </c>
      <c r="Z57" s="101">
        <v>7</v>
      </c>
      <c r="AA57" s="101">
        <v>7</v>
      </c>
      <c r="AB57" s="101">
        <v>10</v>
      </c>
      <c r="AC57" s="147">
        <f t="shared" si="8"/>
        <v>24</v>
      </c>
      <c r="AD57" s="87" t="str">
        <f t="shared" si="9"/>
        <v>Y</v>
      </c>
    </row>
    <row r="58" spans="1:30" ht="15.75" customHeight="1" thickBot="1">
      <c r="A58" s="28">
        <v>49</v>
      </c>
      <c r="B58" s="129" t="s">
        <v>65</v>
      </c>
      <c r="C58" s="123" t="s">
        <v>221</v>
      </c>
      <c r="D58" s="80">
        <v>9</v>
      </c>
      <c r="E58" s="42">
        <v>6</v>
      </c>
      <c r="F58" s="86">
        <f t="shared" si="0"/>
        <v>15</v>
      </c>
      <c r="G58" s="87" t="str">
        <f t="shared" si="1"/>
        <v>Y</v>
      </c>
      <c r="H58" s="80">
        <v>6</v>
      </c>
      <c r="I58" s="86">
        <v>6</v>
      </c>
      <c r="J58" s="87" t="str">
        <f t="shared" si="2"/>
        <v>Y</v>
      </c>
      <c r="K58" s="88">
        <v>8</v>
      </c>
      <c r="L58" s="91">
        <v>8</v>
      </c>
      <c r="M58" s="92">
        <v>8</v>
      </c>
      <c r="N58" s="94">
        <v>10</v>
      </c>
      <c r="O58" s="94">
        <v>10</v>
      </c>
      <c r="P58" s="93">
        <f t="shared" si="3"/>
        <v>44</v>
      </c>
      <c r="Q58" s="87" t="str">
        <f t="shared" si="4"/>
        <v>Y</v>
      </c>
      <c r="R58" s="80">
        <v>9</v>
      </c>
      <c r="S58" s="80">
        <v>9</v>
      </c>
      <c r="T58" s="87" t="str">
        <f t="shared" si="5"/>
        <v>Y</v>
      </c>
      <c r="U58" s="80">
        <v>10</v>
      </c>
      <c r="V58" s="80">
        <v>10</v>
      </c>
      <c r="W58" s="80">
        <v>7</v>
      </c>
      <c r="X58" s="80">
        <f t="shared" si="6"/>
        <v>27</v>
      </c>
      <c r="Y58" s="144" t="str">
        <f t="shared" si="7"/>
        <v>Y</v>
      </c>
      <c r="Z58" s="101">
        <v>7</v>
      </c>
      <c r="AA58" s="101">
        <v>7</v>
      </c>
      <c r="AB58" s="101">
        <v>10</v>
      </c>
      <c r="AC58" s="147">
        <f t="shared" si="8"/>
        <v>24</v>
      </c>
      <c r="AD58" s="87" t="str">
        <f t="shared" si="9"/>
        <v>Y</v>
      </c>
    </row>
    <row r="59" spans="1:30" ht="15.75" customHeight="1" thickBot="1">
      <c r="A59" s="28">
        <v>50</v>
      </c>
      <c r="B59" s="129" t="s">
        <v>66</v>
      </c>
      <c r="C59" s="123" t="s">
        <v>222</v>
      </c>
      <c r="D59" s="80">
        <v>9</v>
      </c>
      <c r="E59" s="42">
        <v>6</v>
      </c>
      <c r="F59" s="86">
        <f t="shared" si="0"/>
        <v>15</v>
      </c>
      <c r="G59" s="87" t="str">
        <f t="shared" si="1"/>
        <v>Y</v>
      </c>
      <c r="H59" s="80">
        <v>6</v>
      </c>
      <c r="I59" s="86">
        <v>6</v>
      </c>
      <c r="J59" s="87" t="str">
        <f t="shared" si="2"/>
        <v>Y</v>
      </c>
      <c r="K59" s="88">
        <v>8</v>
      </c>
      <c r="L59" s="91">
        <v>8</v>
      </c>
      <c r="M59" s="92">
        <v>8</v>
      </c>
      <c r="N59" s="94">
        <v>7</v>
      </c>
      <c r="O59" s="94">
        <v>6</v>
      </c>
      <c r="P59" s="93">
        <f t="shared" si="3"/>
        <v>37</v>
      </c>
      <c r="Q59" s="87" t="str">
        <f t="shared" si="4"/>
        <v>Y</v>
      </c>
      <c r="R59" s="80">
        <v>9</v>
      </c>
      <c r="S59" s="80">
        <v>9</v>
      </c>
      <c r="T59" s="87" t="str">
        <f t="shared" si="5"/>
        <v>Y</v>
      </c>
      <c r="U59" s="80">
        <v>10</v>
      </c>
      <c r="V59" s="80">
        <v>10</v>
      </c>
      <c r="W59" s="80">
        <v>6</v>
      </c>
      <c r="X59" s="80">
        <f t="shared" si="6"/>
        <v>26</v>
      </c>
      <c r="Y59" s="144" t="str">
        <f t="shared" si="7"/>
        <v>Y</v>
      </c>
      <c r="Z59" s="101">
        <v>7</v>
      </c>
      <c r="AA59" s="101">
        <v>7</v>
      </c>
      <c r="AB59" s="101">
        <v>10</v>
      </c>
      <c r="AC59" s="147">
        <f t="shared" si="8"/>
        <v>24</v>
      </c>
      <c r="AD59" s="87" t="str">
        <f t="shared" si="9"/>
        <v>Y</v>
      </c>
    </row>
    <row r="60" spans="1:30" ht="15.75" customHeight="1" thickBot="1">
      <c r="A60" s="28">
        <v>51</v>
      </c>
      <c r="B60" s="129" t="s">
        <v>67</v>
      </c>
      <c r="C60" s="124" t="s">
        <v>223</v>
      </c>
      <c r="D60" s="80">
        <v>9</v>
      </c>
      <c r="E60" s="42">
        <v>6</v>
      </c>
      <c r="F60" s="86">
        <f t="shared" si="0"/>
        <v>15</v>
      </c>
      <c r="G60" s="87" t="str">
        <f t="shared" si="1"/>
        <v>Y</v>
      </c>
      <c r="H60" s="80">
        <v>6</v>
      </c>
      <c r="I60" s="86">
        <v>6</v>
      </c>
      <c r="J60" s="87" t="str">
        <f t="shared" si="2"/>
        <v>Y</v>
      </c>
      <c r="K60" s="88">
        <v>8</v>
      </c>
      <c r="L60" s="91">
        <v>8</v>
      </c>
      <c r="M60" s="92">
        <v>8</v>
      </c>
      <c r="N60" s="94">
        <v>8</v>
      </c>
      <c r="O60" s="94">
        <v>6</v>
      </c>
      <c r="P60" s="93">
        <f t="shared" si="3"/>
        <v>38</v>
      </c>
      <c r="Q60" s="87" t="str">
        <f t="shared" si="4"/>
        <v>Y</v>
      </c>
      <c r="R60" s="80">
        <v>9</v>
      </c>
      <c r="S60" s="80">
        <v>9</v>
      </c>
      <c r="T60" s="87" t="str">
        <f t="shared" si="5"/>
        <v>Y</v>
      </c>
      <c r="U60" s="80">
        <v>10</v>
      </c>
      <c r="V60" s="80">
        <v>10</v>
      </c>
      <c r="W60" s="80">
        <v>7</v>
      </c>
      <c r="X60" s="80">
        <f t="shared" si="6"/>
        <v>27</v>
      </c>
      <c r="Y60" s="144" t="str">
        <f t="shared" si="7"/>
        <v>Y</v>
      </c>
      <c r="Z60" s="101">
        <v>7</v>
      </c>
      <c r="AA60" s="101">
        <v>7</v>
      </c>
      <c r="AB60" s="101">
        <v>8</v>
      </c>
      <c r="AC60" s="147">
        <f t="shared" si="8"/>
        <v>22</v>
      </c>
      <c r="AD60" s="87" t="str">
        <f t="shared" si="9"/>
        <v>Y</v>
      </c>
    </row>
    <row r="61" spans="1:30" ht="15.75" customHeight="1" thickBot="1">
      <c r="A61" s="28">
        <v>52</v>
      </c>
      <c r="B61" s="129" t="s">
        <v>68</v>
      </c>
      <c r="C61" s="123" t="s">
        <v>224</v>
      </c>
      <c r="D61" s="80">
        <v>9</v>
      </c>
      <c r="E61" s="42">
        <v>6</v>
      </c>
      <c r="F61" s="86">
        <f t="shared" si="0"/>
        <v>15</v>
      </c>
      <c r="G61" s="87" t="str">
        <f t="shared" si="1"/>
        <v>Y</v>
      </c>
      <c r="H61" s="80">
        <v>6</v>
      </c>
      <c r="I61" s="86">
        <v>6</v>
      </c>
      <c r="J61" s="87" t="str">
        <f t="shared" si="2"/>
        <v>Y</v>
      </c>
      <c r="K61" s="88">
        <v>8</v>
      </c>
      <c r="L61" s="91">
        <v>8</v>
      </c>
      <c r="M61" s="92">
        <v>8</v>
      </c>
      <c r="N61" s="94">
        <v>7</v>
      </c>
      <c r="O61" s="94">
        <v>9</v>
      </c>
      <c r="P61" s="93">
        <f t="shared" si="3"/>
        <v>40</v>
      </c>
      <c r="Q61" s="87" t="str">
        <f t="shared" si="4"/>
        <v>Y</v>
      </c>
      <c r="R61" s="80">
        <v>9</v>
      </c>
      <c r="S61" s="80">
        <v>9</v>
      </c>
      <c r="T61" s="87" t="str">
        <f t="shared" si="5"/>
        <v>Y</v>
      </c>
      <c r="U61" s="80">
        <v>10</v>
      </c>
      <c r="V61" s="80">
        <v>10</v>
      </c>
      <c r="W61" s="80">
        <v>7</v>
      </c>
      <c r="X61" s="80">
        <f t="shared" si="6"/>
        <v>27</v>
      </c>
      <c r="Y61" s="144" t="str">
        <f t="shared" si="7"/>
        <v>Y</v>
      </c>
      <c r="Z61" s="101">
        <v>7</v>
      </c>
      <c r="AA61" s="101">
        <v>7</v>
      </c>
      <c r="AB61" s="101">
        <v>10</v>
      </c>
      <c r="AC61" s="147">
        <f t="shared" si="8"/>
        <v>24</v>
      </c>
      <c r="AD61" s="87" t="str">
        <f t="shared" si="9"/>
        <v>Y</v>
      </c>
    </row>
    <row r="62" spans="1:30" ht="15.75" customHeight="1" thickBot="1">
      <c r="A62" s="28">
        <v>53</v>
      </c>
      <c r="B62" s="129" t="s">
        <v>69</v>
      </c>
      <c r="C62" s="123" t="s">
        <v>225</v>
      </c>
      <c r="D62" s="80">
        <v>9</v>
      </c>
      <c r="E62" s="42">
        <v>6</v>
      </c>
      <c r="F62" s="86">
        <f t="shared" si="0"/>
        <v>15</v>
      </c>
      <c r="G62" s="87" t="str">
        <f t="shared" si="1"/>
        <v>Y</v>
      </c>
      <c r="H62" s="80">
        <v>6</v>
      </c>
      <c r="I62" s="86">
        <v>6</v>
      </c>
      <c r="J62" s="87" t="str">
        <f t="shared" si="2"/>
        <v>Y</v>
      </c>
      <c r="K62" s="88">
        <v>8</v>
      </c>
      <c r="L62" s="91">
        <v>8</v>
      </c>
      <c r="M62" s="92">
        <v>8</v>
      </c>
      <c r="N62" s="94">
        <v>8</v>
      </c>
      <c r="O62" s="94">
        <v>8</v>
      </c>
      <c r="P62" s="93">
        <f t="shared" si="3"/>
        <v>40</v>
      </c>
      <c r="Q62" s="87" t="str">
        <f t="shared" si="4"/>
        <v>Y</v>
      </c>
      <c r="R62" s="80">
        <v>9</v>
      </c>
      <c r="S62" s="80">
        <v>9</v>
      </c>
      <c r="T62" s="87" t="str">
        <f t="shared" si="5"/>
        <v>Y</v>
      </c>
      <c r="U62" s="80">
        <v>10</v>
      </c>
      <c r="V62" s="80">
        <v>10</v>
      </c>
      <c r="W62" s="80">
        <v>7</v>
      </c>
      <c r="X62" s="80">
        <f t="shared" si="6"/>
        <v>27</v>
      </c>
      <c r="Y62" s="144" t="str">
        <f t="shared" si="7"/>
        <v>Y</v>
      </c>
      <c r="Z62" s="101">
        <v>7</v>
      </c>
      <c r="AA62" s="101">
        <v>7</v>
      </c>
      <c r="AB62" s="101">
        <v>10</v>
      </c>
      <c r="AC62" s="147">
        <f t="shared" si="8"/>
        <v>24</v>
      </c>
      <c r="AD62" s="87" t="str">
        <f t="shared" si="9"/>
        <v>Y</v>
      </c>
    </row>
    <row r="63" spans="1:30" ht="15.75" customHeight="1" thickBot="1">
      <c r="A63" s="28">
        <v>54</v>
      </c>
      <c r="B63" s="129" t="s">
        <v>70</v>
      </c>
      <c r="C63" s="123" t="s">
        <v>226</v>
      </c>
      <c r="D63" s="80">
        <v>9</v>
      </c>
      <c r="E63" s="42">
        <v>6</v>
      </c>
      <c r="F63" s="86">
        <f t="shared" si="0"/>
        <v>15</v>
      </c>
      <c r="G63" s="87" t="str">
        <f t="shared" si="1"/>
        <v>Y</v>
      </c>
      <c r="H63" s="80">
        <v>6</v>
      </c>
      <c r="I63" s="86">
        <v>6</v>
      </c>
      <c r="J63" s="87" t="str">
        <f t="shared" si="2"/>
        <v>Y</v>
      </c>
      <c r="K63" s="88">
        <v>8</v>
      </c>
      <c r="L63" s="91">
        <v>8</v>
      </c>
      <c r="M63" s="92">
        <v>8</v>
      </c>
      <c r="N63" s="94">
        <v>8</v>
      </c>
      <c r="O63" s="94">
        <v>5</v>
      </c>
      <c r="P63" s="93">
        <f t="shared" si="3"/>
        <v>37</v>
      </c>
      <c r="Q63" s="87" t="str">
        <f t="shared" si="4"/>
        <v>Y</v>
      </c>
      <c r="R63" s="80">
        <v>9</v>
      </c>
      <c r="S63" s="80">
        <v>9</v>
      </c>
      <c r="T63" s="87" t="str">
        <f t="shared" si="5"/>
        <v>Y</v>
      </c>
      <c r="U63" s="80">
        <v>10</v>
      </c>
      <c r="V63" s="80">
        <v>10</v>
      </c>
      <c r="W63" s="80">
        <v>7</v>
      </c>
      <c r="X63" s="80">
        <f t="shared" si="6"/>
        <v>27</v>
      </c>
      <c r="Y63" s="144" t="str">
        <f t="shared" si="7"/>
        <v>Y</v>
      </c>
      <c r="Z63" s="101">
        <v>7</v>
      </c>
      <c r="AA63" s="101">
        <v>7</v>
      </c>
      <c r="AB63" s="101">
        <v>8</v>
      </c>
      <c r="AC63" s="147">
        <f t="shared" si="8"/>
        <v>22</v>
      </c>
      <c r="AD63" s="87" t="str">
        <f t="shared" si="9"/>
        <v>Y</v>
      </c>
    </row>
    <row r="64" spans="1:30" ht="15.75" customHeight="1" thickBot="1">
      <c r="A64" s="28">
        <v>55</v>
      </c>
      <c r="B64" s="129" t="s">
        <v>71</v>
      </c>
      <c r="C64" s="123" t="s">
        <v>227</v>
      </c>
      <c r="D64" s="80">
        <v>9</v>
      </c>
      <c r="E64" s="42">
        <v>6</v>
      </c>
      <c r="F64" s="86">
        <f t="shared" si="0"/>
        <v>15</v>
      </c>
      <c r="G64" s="87" t="str">
        <f t="shared" si="1"/>
        <v>Y</v>
      </c>
      <c r="H64" s="80">
        <v>6</v>
      </c>
      <c r="I64" s="86">
        <v>6</v>
      </c>
      <c r="J64" s="87" t="str">
        <f t="shared" si="2"/>
        <v>Y</v>
      </c>
      <c r="K64" s="88">
        <v>8</v>
      </c>
      <c r="L64" s="91">
        <v>8</v>
      </c>
      <c r="M64" s="92">
        <v>8</v>
      </c>
      <c r="N64" s="94">
        <v>8</v>
      </c>
      <c r="O64" s="94">
        <v>6</v>
      </c>
      <c r="P64" s="93">
        <f t="shared" si="3"/>
        <v>38</v>
      </c>
      <c r="Q64" s="87" t="str">
        <f t="shared" si="4"/>
        <v>Y</v>
      </c>
      <c r="R64" s="80">
        <v>9</v>
      </c>
      <c r="S64" s="80">
        <v>9</v>
      </c>
      <c r="T64" s="87" t="str">
        <f t="shared" si="5"/>
        <v>Y</v>
      </c>
      <c r="U64" s="80">
        <v>10</v>
      </c>
      <c r="V64" s="80">
        <v>10</v>
      </c>
      <c r="W64" s="80">
        <v>7</v>
      </c>
      <c r="X64" s="80">
        <f t="shared" si="6"/>
        <v>27</v>
      </c>
      <c r="Y64" s="144" t="str">
        <f t="shared" si="7"/>
        <v>Y</v>
      </c>
      <c r="Z64" s="101">
        <v>6</v>
      </c>
      <c r="AA64" s="101">
        <v>7</v>
      </c>
      <c r="AB64" s="101">
        <v>10</v>
      </c>
      <c r="AC64" s="147">
        <f t="shared" si="8"/>
        <v>23</v>
      </c>
      <c r="AD64" s="87" t="str">
        <f t="shared" si="9"/>
        <v>Y</v>
      </c>
    </row>
    <row r="65" spans="1:30" ht="15.75" customHeight="1" thickBot="1">
      <c r="A65" s="28">
        <v>56</v>
      </c>
      <c r="B65" s="129" t="s">
        <v>72</v>
      </c>
      <c r="C65" s="123" t="s">
        <v>228</v>
      </c>
      <c r="D65" s="80">
        <v>9</v>
      </c>
      <c r="E65" s="42">
        <v>6</v>
      </c>
      <c r="F65" s="86">
        <f t="shared" si="0"/>
        <v>15</v>
      </c>
      <c r="G65" s="87" t="str">
        <f t="shared" si="1"/>
        <v>Y</v>
      </c>
      <c r="H65" s="80">
        <v>6</v>
      </c>
      <c r="I65" s="86">
        <v>6</v>
      </c>
      <c r="J65" s="87" t="str">
        <f t="shared" si="2"/>
        <v>Y</v>
      </c>
      <c r="K65" s="88">
        <v>8</v>
      </c>
      <c r="L65" s="91">
        <v>8</v>
      </c>
      <c r="M65" s="92">
        <v>8</v>
      </c>
      <c r="N65" s="94">
        <v>8</v>
      </c>
      <c r="O65" s="94">
        <v>6</v>
      </c>
      <c r="P65" s="93">
        <f t="shared" si="3"/>
        <v>38</v>
      </c>
      <c r="Q65" s="87" t="str">
        <f t="shared" si="4"/>
        <v>Y</v>
      </c>
      <c r="R65" s="80">
        <v>9</v>
      </c>
      <c r="S65" s="80">
        <v>9</v>
      </c>
      <c r="T65" s="87" t="str">
        <f t="shared" si="5"/>
        <v>Y</v>
      </c>
      <c r="U65" s="80">
        <v>10</v>
      </c>
      <c r="V65" s="80">
        <v>10</v>
      </c>
      <c r="W65" s="80">
        <v>7</v>
      </c>
      <c r="X65" s="80">
        <f t="shared" si="6"/>
        <v>27</v>
      </c>
      <c r="Y65" s="144" t="str">
        <f t="shared" si="7"/>
        <v>Y</v>
      </c>
      <c r="Z65" s="101">
        <v>7</v>
      </c>
      <c r="AA65" s="101">
        <v>7</v>
      </c>
      <c r="AB65" s="101">
        <v>8</v>
      </c>
      <c r="AC65" s="147">
        <f t="shared" si="8"/>
        <v>22</v>
      </c>
      <c r="AD65" s="87" t="str">
        <f t="shared" si="9"/>
        <v>Y</v>
      </c>
    </row>
    <row r="66" spans="1:30" ht="15.75" customHeight="1" thickBot="1">
      <c r="A66" s="28">
        <v>57</v>
      </c>
      <c r="B66" s="129" t="s">
        <v>73</v>
      </c>
      <c r="C66" s="123" t="s">
        <v>229</v>
      </c>
      <c r="D66" s="80">
        <v>9</v>
      </c>
      <c r="E66" s="42">
        <v>6</v>
      </c>
      <c r="F66" s="86">
        <f t="shared" si="0"/>
        <v>15</v>
      </c>
      <c r="G66" s="87" t="str">
        <f t="shared" si="1"/>
        <v>Y</v>
      </c>
      <c r="H66" s="80">
        <v>6</v>
      </c>
      <c r="I66" s="86">
        <v>6</v>
      </c>
      <c r="J66" s="87" t="str">
        <f t="shared" si="2"/>
        <v>Y</v>
      </c>
      <c r="K66" s="88">
        <v>8</v>
      </c>
      <c r="L66" s="91">
        <v>8</v>
      </c>
      <c r="M66" s="92">
        <v>8</v>
      </c>
      <c r="N66" s="94">
        <v>8</v>
      </c>
      <c r="O66" s="94">
        <v>9</v>
      </c>
      <c r="P66" s="93">
        <f t="shared" si="3"/>
        <v>41</v>
      </c>
      <c r="Q66" s="87" t="str">
        <f t="shared" si="4"/>
        <v>Y</v>
      </c>
      <c r="R66" s="80">
        <v>9</v>
      </c>
      <c r="S66" s="80">
        <v>9</v>
      </c>
      <c r="T66" s="87" t="str">
        <f t="shared" si="5"/>
        <v>Y</v>
      </c>
      <c r="U66" s="80">
        <v>10</v>
      </c>
      <c r="V66" s="80">
        <v>10</v>
      </c>
      <c r="W66" s="80">
        <v>7</v>
      </c>
      <c r="X66" s="80">
        <f t="shared" si="6"/>
        <v>27</v>
      </c>
      <c r="Y66" s="144" t="str">
        <f t="shared" si="7"/>
        <v>Y</v>
      </c>
      <c r="Z66" s="101">
        <v>7</v>
      </c>
      <c r="AA66" s="101">
        <v>7</v>
      </c>
      <c r="AB66" s="101">
        <v>10</v>
      </c>
      <c r="AC66" s="147">
        <f t="shared" si="8"/>
        <v>24</v>
      </c>
      <c r="AD66" s="87" t="str">
        <f t="shared" si="9"/>
        <v>Y</v>
      </c>
    </row>
    <row r="67" spans="1:30" ht="15.75" customHeight="1" thickBot="1">
      <c r="A67" s="28">
        <v>58</v>
      </c>
      <c r="B67" s="129" t="s">
        <v>74</v>
      </c>
      <c r="C67" s="123" t="s">
        <v>230</v>
      </c>
      <c r="D67" s="80">
        <v>9</v>
      </c>
      <c r="E67" s="42">
        <v>6</v>
      </c>
      <c r="F67" s="86">
        <f t="shared" si="0"/>
        <v>15</v>
      </c>
      <c r="G67" s="87" t="str">
        <f t="shared" si="1"/>
        <v>Y</v>
      </c>
      <c r="H67" s="80">
        <v>6</v>
      </c>
      <c r="I67" s="86">
        <v>6</v>
      </c>
      <c r="J67" s="87" t="str">
        <f t="shared" si="2"/>
        <v>Y</v>
      </c>
      <c r="K67" s="88">
        <v>8</v>
      </c>
      <c r="L67" s="91">
        <v>8</v>
      </c>
      <c r="M67" s="92">
        <v>8</v>
      </c>
      <c r="N67" s="94">
        <v>8</v>
      </c>
      <c r="O67" s="94">
        <v>6</v>
      </c>
      <c r="P67" s="93">
        <f t="shared" si="3"/>
        <v>38</v>
      </c>
      <c r="Q67" s="87" t="str">
        <f t="shared" si="4"/>
        <v>Y</v>
      </c>
      <c r="R67" s="80">
        <v>9</v>
      </c>
      <c r="S67" s="80">
        <v>9</v>
      </c>
      <c r="T67" s="87" t="str">
        <f t="shared" si="5"/>
        <v>Y</v>
      </c>
      <c r="U67" s="80">
        <v>10</v>
      </c>
      <c r="V67" s="80">
        <v>10</v>
      </c>
      <c r="W67" s="80">
        <v>7</v>
      </c>
      <c r="X67" s="80">
        <f t="shared" si="6"/>
        <v>27</v>
      </c>
      <c r="Y67" s="144" t="str">
        <f t="shared" si="7"/>
        <v>Y</v>
      </c>
      <c r="Z67" s="101">
        <v>6</v>
      </c>
      <c r="AA67" s="101">
        <v>7</v>
      </c>
      <c r="AB67" s="101">
        <v>7</v>
      </c>
      <c r="AC67" s="147">
        <f t="shared" si="8"/>
        <v>20</v>
      </c>
      <c r="AD67" s="87" t="str">
        <f t="shared" si="9"/>
        <v>Y</v>
      </c>
    </row>
    <row r="68" spans="1:30" ht="15.75" customHeight="1" thickBot="1">
      <c r="A68" s="28">
        <v>59</v>
      </c>
      <c r="B68" s="129" t="s">
        <v>75</v>
      </c>
      <c r="C68" s="123" t="s">
        <v>231</v>
      </c>
      <c r="D68" s="80">
        <v>9</v>
      </c>
      <c r="E68" s="42">
        <v>6</v>
      </c>
      <c r="F68" s="86">
        <f t="shared" si="0"/>
        <v>15</v>
      </c>
      <c r="G68" s="87" t="str">
        <f t="shared" si="1"/>
        <v>Y</v>
      </c>
      <c r="H68" s="80">
        <v>6</v>
      </c>
      <c r="I68" s="86">
        <v>6</v>
      </c>
      <c r="J68" s="87" t="str">
        <f t="shared" si="2"/>
        <v>Y</v>
      </c>
      <c r="K68" s="88">
        <v>8</v>
      </c>
      <c r="L68" s="91">
        <v>8</v>
      </c>
      <c r="M68" s="92">
        <v>8</v>
      </c>
      <c r="N68" s="94">
        <v>8</v>
      </c>
      <c r="O68" s="94">
        <v>6</v>
      </c>
      <c r="P68" s="93">
        <f t="shared" si="3"/>
        <v>38</v>
      </c>
      <c r="Q68" s="87" t="str">
        <f t="shared" si="4"/>
        <v>Y</v>
      </c>
      <c r="R68" s="80">
        <v>9</v>
      </c>
      <c r="S68" s="80">
        <v>9</v>
      </c>
      <c r="T68" s="87" t="str">
        <f t="shared" si="5"/>
        <v>Y</v>
      </c>
      <c r="U68" s="80">
        <v>10</v>
      </c>
      <c r="V68" s="80">
        <v>10</v>
      </c>
      <c r="W68" s="80">
        <v>7</v>
      </c>
      <c r="X68" s="80">
        <f t="shared" si="6"/>
        <v>27</v>
      </c>
      <c r="Y68" s="144" t="str">
        <f t="shared" si="7"/>
        <v>Y</v>
      </c>
      <c r="Z68" s="101">
        <v>7</v>
      </c>
      <c r="AA68" s="101">
        <v>10</v>
      </c>
      <c r="AB68" s="101">
        <v>6</v>
      </c>
      <c r="AC68" s="147">
        <f t="shared" si="8"/>
        <v>23</v>
      </c>
      <c r="AD68" s="87" t="str">
        <f t="shared" si="9"/>
        <v>Y</v>
      </c>
    </row>
    <row r="69" spans="1:30" ht="15.75" customHeight="1" thickBot="1">
      <c r="A69" s="28">
        <v>60</v>
      </c>
      <c r="B69" s="129" t="s">
        <v>76</v>
      </c>
      <c r="C69" s="123" t="s">
        <v>232</v>
      </c>
      <c r="D69" s="80">
        <v>9</v>
      </c>
      <c r="E69" s="42">
        <v>6</v>
      </c>
      <c r="F69" s="86">
        <f t="shared" si="0"/>
        <v>15</v>
      </c>
      <c r="G69" s="87" t="str">
        <f t="shared" si="1"/>
        <v>Y</v>
      </c>
      <c r="H69" s="80">
        <v>6</v>
      </c>
      <c r="I69" s="86">
        <v>6</v>
      </c>
      <c r="J69" s="87" t="str">
        <f t="shared" si="2"/>
        <v>Y</v>
      </c>
      <c r="K69" s="88">
        <v>8</v>
      </c>
      <c r="L69" s="91">
        <v>8</v>
      </c>
      <c r="M69" s="92">
        <v>8</v>
      </c>
      <c r="N69" s="94">
        <v>7</v>
      </c>
      <c r="O69" s="94">
        <v>6</v>
      </c>
      <c r="P69" s="93">
        <f t="shared" si="3"/>
        <v>37</v>
      </c>
      <c r="Q69" s="87" t="str">
        <f t="shared" si="4"/>
        <v>Y</v>
      </c>
      <c r="R69" s="80">
        <v>9</v>
      </c>
      <c r="S69" s="80">
        <v>9</v>
      </c>
      <c r="T69" s="87" t="str">
        <f t="shared" si="5"/>
        <v>Y</v>
      </c>
      <c r="U69" s="80">
        <v>10</v>
      </c>
      <c r="V69" s="80">
        <v>10</v>
      </c>
      <c r="W69" s="80">
        <v>7</v>
      </c>
      <c r="X69" s="80">
        <f t="shared" si="6"/>
        <v>27</v>
      </c>
      <c r="Y69" s="144" t="str">
        <f t="shared" si="7"/>
        <v>Y</v>
      </c>
      <c r="Z69" s="101">
        <v>7</v>
      </c>
      <c r="AA69" s="101">
        <v>7</v>
      </c>
      <c r="AB69" s="101">
        <v>8</v>
      </c>
      <c r="AC69" s="147">
        <f t="shared" si="8"/>
        <v>22</v>
      </c>
      <c r="AD69" s="87" t="str">
        <f t="shared" si="9"/>
        <v>Y</v>
      </c>
    </row>
    <row r="70" spans="1:30" ht="15.75" customHeight="1" thickBot="1">
      <c r="A70" s="28">
        <v>61</v>
      </c>
      <c r="B70" s="130" t="s">
        <v>77</v>
      </c>
      <c r="C70" s="123" t="s">
        <v>233</v>
      </c>
      <c r="D70" s="80">
        <v>9</v>
      </c>
      <c r="E70" s="42">
        <v>6</v>
      </c>
      <c r="F70" s="86">
        <f t="shared" si="0"/>
        <v>15</v>
      </c>
      <c r="G70" s="87" t="str">
        <f t="shared" si="1"/>
        <v>Y</v>
      </c>
      <c r="H70" s="80">
        <v>6</v>
      </c>
      <c r="I70" s="86">
        <v>6</v>
      </c>
      <c r="J70" s="87" t="str">
        <f t="shared" si="2"/>
        <v>Y</v>
      </c>
      <c r="K70" s="88">
        <v>8</v>
      </c>
      <c r="L70" s="91">
        <v>8</v>
      </c>
      <c r="M70" s="92">
        <v>8</v>
      </c>
      <c r="N70" s="94">
        <v>8</v>
      </c>
      <c r="O70" s="94">
        <v>5</v>
      </c>
      <c r="P70" s="93">
        <f t="shared" si="3"/>
        <v>37</v>
      </c>
      <c r="Q70" s="87" t="str">
        <f t="shared" si="4"/>
        <v>Y</v>
      </c>
      <c r="R70" s="80">
        <v>9</v>
      </c>
      <c r="S70" s="80">
        <v>9</v>
      </c>
      <c r="T70" s="87" t="str">
        <f t="shared" si="5"/>
        <v>Y</v>
      </c>
      <c r="U70" s="80">
        <v>10</v>
      </c>
      <c r="V70" s="80">
        <v>5</v>
      </c>
      <c r="W70" s="80">
        <v>7</v>
      </c>
      <c r="X70" s="80">
        <f t="shared" si="6"/>
        <v>22</v>
      </c>
      <c r="Y70" s="144" t="str">
        <f t="shared" si="7"/>
        <v>Y</v>
      </c>
      <c r="Z70" s="101">
        <v>7</v>
      </c>
      <c r="AA70" s="101">
        <v>7</v>
      </c>
      <c r="AB70" s="101">
        <v>6</v>
      </c>
      <c r="AC70" s="147">
        <f t="shared" si="8"/>
        <v>20</v>
      </c>
      <c r="AD70" s="87" t="str">
        <f t="shared" si="9"/>
        <v>Y</v>
      </c>
    </row>
    <row r="71" spans="1:30" ht="15.75" customHeight="1" thickBot="1">
      <c r="A71" s="28">
        <v>62</v>
      </c>
      <c r="B71" s="129" t="s">
        <v>78</v>
      </c>
      <c r="C71" s="123" t="s">
        <v>234</v>
      </c>
      <c r="D71" s="80">
        <v>9</v>
      </c>
      <c r="E71" s="42">
        <v>6</v>
      </c>
      <c r="F71" s="86">
        <f t="shared" si="0"/>
        <v>15</v>
      </c>
      <c r="G71" s="87" t="str">
        <f t="shared" si="1"/>
        <v>Y</v>
      </c>
      <c r="H71" s="80">
        <v>6</v>
      </c>
      <c r="I71" s="86">
        <v>6</v>
      </c>
      <c r="J71" s="87" t="str">
        <f t="shared" si="2"/>
        <v>Y</v>
      </c>
      <c r="K71" s="88">
        <v>6</v>
      </c>
      <c r="L71" s="91">
        <v>8</v>
      </c>
      <c r="M71" s="92">
        <v>8</v>
      </c>
      <c r="N71" s="94">
        <v>8</v>
      </c>
      <c r="O71" s="94">
        <v>6</v>
      </c>
      <c r="P71" s="93">
        <f t="shared" si="3"/>
        <v>36</v>
      </c>
      <c r="Q71" s="87" t="str">
        <f t="shared" si="4"/>
        <v>Y</v>
      </c>
      <c r="R71" s="80">
        <v>8</v>
      </c>
      <c r="S71" s="80">
        <v>8</v>
      </c>
      <c r="T71" s="87" t="str">
        <f t="shared" si="5"/>
        <v>Y</v>
      </c>
      <c r="U71" s="80">
        <v>10</v>
      </c>
      <c r="V71" s="80">
        <v>7</v>
      </c>
      <c r="W71" s="80">
        <v>6</v>
      </c>
      <c r="X71" s="80">
        <f t="shared" si="6"/>
        <v>23</v>
      </c>
      <c r="Y71" s="144" t="str">
        <f t="shared" si="7"/>
        <v>Y</v>
      </c>
      <c r="Z71" s="101">
        <v>7</v>
      </c>
      <c r="AA71" s="101">
        <v>7</v>
      </c>
      <c r="AB71" s="101">
        <v>5</v>
      </c>
      <c r="AC71" s="147">
        <f t="shared" si="8"/>
        <v>19</v>
      </c>
      <c r="AD71" s="87" t="str">
        <f t="shared" si="9"/>
        <v>Y</v>
      </c>
    </row>
    <row r="72" spans="1:30" ht="15.75" customHeight="1" thickBot="1">
      <c r="A72" s="28">
        <v>63</v>
      </c>
      <c r="B72" s="129" t="s">
        <v>79</v>
      </c>
      <c r="C72" s="123" t="s">
        <v>235</v>
      </c>
      <c r="D72" s="80">
        <v>9</v>
      </c>
      <c r="E72" s="42">
        <v>6</v>
      </c>
      <c r="F72" s="86">
        <f t="shared" si="0"/>
        <v>15</v>
      </c>
      <c r="G72" s="87" t="str">
        <f t="shared" si="1"/>
        <v>Y</v>
      </c>
      <c r="H72" s="80">
        <v>6</v>
      </c>
      <c r="I72" s="86">
        <v>6</v>
      </c>
      <c r="J72" s="87" t="str">
        <f t="shared" si="2"/>
        <v>Y</v>
      </c>
      <c r="K72" s="88">
        <v>8</v>
      </c>
      <c r="L72" s="91">
        <v>8</v>
      </c>
      <c r="M72" s="92">
        <v>8</v>
      </c>
      <c r="N72" s="94">
        <v>10</v>
      </c>
      <c r="O72" s="94">
        <v>10</v>
      </c>
      <c r="P72" s="93">
        <f t="shared" si="3"/>
        <v>44</v>
      </c>
      <c r="Q72" s="87" t="str">
        <f t="shared" si="4"/>
        <v>Y</v>
      </c>
      <c r="R72" s="80">
        <v>9</v>
      </c>
      <c r="S72" s="80">
        <v>9</v>
      </c>
      <c r="T72" s="87" t="str">
        <f t="shared" si="5"/>
        <v>Y</v>
      </c>
      <c r="U72" s="80">
        <v>10</v>
      </c>
      <c r="V72" s="80">
        <v>10</v>
      </c>
      <c r="W72" s="80">
        <v>10</v>
      </c>
      <c r="X72" s="80">
        <f t="shared" si="6"/>
        <v>30</v>
      </c>
      <c r="Y72" s="144" t="str">
        <f t="shared" si="7"/>
        <v>Y</v>
      </c>
      <c r="Z72" s="101">
        <v>7</v>
      </c>
      <c r="AA72" s="101">
        <v>10</v>
      </c>
      <c r="AB72" s="101">
        <v>10</v>
      </c>
      <c r="AC72" s="147">
        <f t="shared" si="8"/>
        <v>27</v>
      </c>
      <c r="AD72" s="87" t="str">
        <f t="shared" si="9"/>
        <v>Y</v>
      </c>
    </row>
    <row r="73" spans="1:30" ht="15.75" customHeight="1" thickBot="1">
      <c r="A73" s="28">
        <v>64</v>
      </c>
      <c r="B73" s="129" t="s">
        <v>80</v>
      </c>
      <c r="C73" s="123" t="s">
        <v>236</v>
      </c>
      <c r="D73" s="80">
        <v>9</v>
      </c>
      <c r="E73" s="42">
        <v>6</v>
      </c>
      <c r="F73" s="86">
        <f t="shared" si="0"/>
        <v>15</v>
      </c>
      <c r="G73" s="87" t="str">
        <f t="shared" si="1"/>
        <v>Y</v>
      </c>
      <c r="H73" s="80">
        <v>6</v>
      </c>
      <c r="I73" s="86">
        <v>6</v>
      </c>
      <c r="J73" s="87" t="str">
        <f t="shared" si="2"/>
        <v>Y</v>
      </c>
      <c r="K73" s="88">
        <v>8</v>
      </c>
      <c r="L73" s="91">
        <v>8</v>
      </c>
      <c r="M73" s="92">
        <v>8</v>
      </c>
      <c r="N73" s="94">
        <v>8</v>
      </c>
      <c r="O73" s="94">
        <v>9</v>
      </c>
      <c r="P73" s="93">
        <f t="shared" si="3"/>
        <v>41</v>
      </c>
      <c r="Q73" s="87" t="str">
        <f t="shared" si="4"/>
        <v>Y</v>
      </c>
      <c r="R73" s="80">
        <v>9</v>
      </c>
      <c r="S73" s="80">
        <v>9</v>
      </c>
      <c r="T73" s="87" t="str">
        <f t="shared" si="5"/>
        <v>Y</v>
      </c>
      <c r="U73" s="80">
        <v>10</v>
      </c>
      <c r="V73" s="80">
        <v>10</v>
      </c>
      <c r="W73" s="80">
        <v>7</v>
      </c>
      <c r="X73" s="80">
        <f t="shared" si="6"/>
        <v>27</v>
      </c>
      <c r="Y73" s="144" t="str">
        <f t="shared" si="7"/>
        <v>Y</v>
      </c>
      <c r="Z73" s="101">
        <v>7</v>
      </c>
      <c r="AA73" s="101">
        <v>7</v>
      </c>
      <c r="AB73" s="101">
        <v>10</v>
      </c>
      <c r="AC73" s="147">
        <f t="shared" si="8"/>
        <v>24</v>
      </c>
      <c r="AD73" s="87" t="str">
        <f t="shared" si="9"/>
        <v>Y</v>
      </c>
    </row>
    <row r="74" spans="1:30" ht="15.75" customHeight="1" thickBot="1">
      <c r="A74" s="28">
        <v>65</v>
      </c>
      <c r="B74" s="129" t="s">
        <v>81</v>
      </c>
      <c r="C74" s="123" t="s">
        <v>237</v>
      </c>
      <c r="D74" s="80">
        <v>9</v>
      </c>
      <c r="E74" s="42">
        <v>6</v>
      </c>
      <c r="F74" s="86">
        <f t="shared" si="0"/>
        <v>15</v>
      </c>
      <c r="G74" s="87" t="str">
        <f t="shared" si="1"/>
        <v>Y</v>
      </c>
      <c r="H74" s="80">
        <v>6</v>
      </c>
      <c r="I74" s="86">
        <v>6</v>
      </c>
      <c r="J74" s="87" t="str">
        <f t="shared" si="2"/>
        <v>Y</v>
      </c>
      <c r="K74" s="88">
        <v>10</v>
      </c>
      <c r="L74" s="91">
        <v>8</v>
      </c>
      <c r="M74" s="92">
        <v>8</v>
      </c>
      <c r="N74" s="94">
        <v>10</v>
      </c>
      <c r="O74" s="94">
        <v>10</v>
      </c>
      <c r="P74" s="93">
        <f t="shared" si="3"/>
        <v>46</v>
      </c>
      <c r="Q74" s="87" t="str">
        <f t="shared" si="4"/>
        <v>Y</v>
      </c>
      <c r="R74" s="80">
        <v>10</v>
      </c>
      <c r="S74" s="80">
        <v>10</v>
      </c>
      <c r="T74" s="87" t="str">
        <f t="shared" si="5"/>
        <v>Y</v>
      </c>
      <c r="U74" s="80">
        <v>10</v>
      </c>
      <c r="V74" s="80">
        <v>10</v>
      </c>
      <c r="W74" s="80">
        <v>8</v>
      </c>
      <c r="X74" s="80">
        <f t="shared" si="6"/>
        <v>28</v>
      </c>
      <c r="Y74" s="144" t="str">
        <f t="shared" si="7"/>
        <v>Y</v>
      </c>
      <c r="Z74" s="101">
        <v>7</v>
      </c>
      <c r="AA74" s="101">
        <v>10</v>
      </c>
      <c r="AB74" s="101">
        <v>10</v>
      </c>
      <c r="AC74" s="147">
        <f t="shared" si="8"/>
        <v>27</v>
      </c>
      <c r="AD74" s="87" t="str">
        <f t="shared" si="9"/>
        <v>Y</v>
      </c>
    </row>
    <row r="75" spans="1:30" ht="15.75" customHeight="1" thickBot="1">
      <c r="A75" s="28">
        <v>66</v>
      </c>
      <c r="B75" s="129" t="s">
        <v>82</v>
      </c>
      <c r="C75" s="123" t="s">
        <v>238</v>
      </c>
      <c r="D75" s="80">
        <v>9</v>
      </c>
      <c r="E75" s="42">
        <v>6</v>
      </c>
      <c r="F75" s="86">
        <f t="shared" ref="F75:F90" si="10">SUM(D75,E75)</f>
        <v>15</v>
      </c>
      <c r="G75" s="87" t="str">
        <f t="shared" ref="G75:G90" si="11">IF(F75&gt;=(0.6*20),"Y","N")</f>
        <v>Y</v>
      </c>
      <c r="H75" s="80">
        <v>6</v>
      </c>
      <c r="I75" s="86">
        <v>6</v>
      </c>
      <c r="J75" s="87" t="str">
        <f t="shared" ref="J75:J90" si="12">IF(I75&gt;=(0.6*10),"Y","N")</f>
        <v>Y</v>
      </c>
      <c r="K75" s="88">
        <v>8</v>
      </c>
      <c r="L75" s="91">
        <v>8</v>
      </c>
      <c r="M75" s="92">
        <v>8</v>
      </c>
      <c r="N75" s="94">
        <v>8</v>
      </c>
      <c r="O75" s="94">
        <v>9</v>
      </c>
      <c r="P75" s="93">
        <f t="shared" ref="P75:P90" si="13">SUM(K75,L75,M75,N75,O75)</f>
        <v>41</v>
      </c>
      <c r="Q75" s="87" t="str">
        <f t="shared" ref="Q75:Q90" si="14">IF(P75&gt;=(0.6*50),"Y","N")</f>
        <v>Y</v>
      </c>
      <c r="R75" s="80">
        <v>9</v>
      </c>
      <c r="S75" s="80">
        <v>9</v>
      </c>
      <c r="T75" s="87" t="str">
        <f t="shared" ref="T75:T90" si="15">IF(S75&gt;=(0.6*10),"Y","N")</f>
        <v>Y</v>
      </c>
      <c r="U75" s="80">
        <v>10</v>
      </c>
      <c r="V75" s="80">
        <v>10</v>
      </c>
      <c r="W75" s="80">
        <v>7</v>
      </c>
      <c r="X75" s="80">
        <f t="shared" ref="X75:X90" si="16">SUM(U75,V75,W75)</f>
        <v>27</v>
      </c>
      <c r="Y75" s="144" t="str">
        <f t="shared" ref="Y75:Y90" si="17">IF(X75&gt;=(0.6*30),"Y","N")</f>
        <v>Y</v>
      </c>
      <c r="Z75" s="101">
        <v>7</v>
      </c>
      <c r="AA75" s="101">
        <v>7</v>
      </c>
      <c r="AB75" s="101">
        <v>10</v>
      </c>
      <c r="AC75" s="147">
        <f t="shared" ref="AC75:AC90" si="18">SUM(Z75,AA75,AB75)</f>
        <v>24</v>
      </c>
      <c r="AD75" s="87" t="str">
        <f t="shared" ref="AD75:AD90" si="19">IF(AC75&gt;=(0.6*30),"Y","N")</f>
        <v>Y</v>
      </c>
    </row>
    <row r="76" spans="1:30" ht="15.75" customHeight="1" thickBot="1">
      <c r="A76" s="28">
        <v>67</v>
      </c>
      <c r="B76" s="129" t="s">
        <v>83</v>
      </c>
      <c r="C76" s="123" t="s">
        <v>239</v>
      </c>
      <c r="D76" s="80">
        <v>9</v>
      </c>
      <c r="E76" s="42">
        <v>6</v>
      </c>
      <c r="F76" s="86">
        <f t="shared" si="10"/>
        <v>15</v>
      </c>
      <c r="G76" s="87" t="str">
        <f t="shared" si="11"/>
        <v>Y</v>
      </c>
      <c r="H76" s="80">
        <v>6</v>
      </c>
      <c r="I76" s="86">
        <v>6</v>
      </c>
      <c r="J76" s="87" t="str">
        <f t="shared" si="12"/>
        <v>Y</v>
      </c>
      <c r="K76" s="88">
        <v>8</v>
      </c>
      <c r="L76" s="91">
        <v>8</v>
      </c>
      <c r="M76" s="92">
        <v>8</v>
      </c>
      <c r="N76" s="94">
        <v>7</v>
      </c>
      <c r="O76" s="94">
        <v>6</v>
      </c>
      <c r="P76" s="93">
        <f t="shared" si="13"/>
        <v>37</v>
      </c>
      <c r="Q76" s="87" t="str">
        <f t="shared" si="14"/>
        <v>Y</v>
      </c>
      <c r="R76" s="80">
        <v>9</v>
      </c>
      <c r="S76" s="80">
        <v>9</v>
      </c>
      <c r="T76" s="87" t="str">
        <f t="shared" si="15"/>
        <v>Y</v>
      </c>
      <c r="U76" s="80">
        <v>8</v>
      </c>
      <c r="V76" s="80">
        <v>7</v>
      </c>
      <c r="W76" s="80">
        <v>7</v>
      </c>
      <c r="X76" s="80">
        <f t="shared" si="16"/>
        <v>22</v>
      </c>
      <c r="Y76" s="144" t="str">
        <f t="shared" si="17"/>
        <v>Y</v>
      </c>
      <c r="Z76" s="101">
        <v>6</v>
      </c>
      <c r="AA76" s="101">
        <v>7</v>
      </c>
      <c r="AB76" s="101">
        <v>6</v>
      </c>
      <c r="AC76" s="147">
        <f t="shared" si="18"/>
        <v>19</v>
      </c>
      <c r="AD76" s="87" t="str">
        <f t="shared" si="19"/>
        <v>Y</v>
      </c>
    </row>
    <row r="77" spans="1:30" ht="15.75" customHeight="1" thickBot="1">
      <c r="A77" s="28">
        <v>68</v>
      </c>
      <c r="B77" s="129" t="s">
        <v>84</v>
      </c>
      <c r="C77" s="123" t="s">
        <v>240</v>
      </c>
      <c r="D77" s="80">
        <v>9</v>
      </c>
      <c r="E77" s="42">
        <v>6</v>
      </c>
      <c r="F77" s="86">
        <f t="shared" si="10"/>
        <v>15</v>
      </c>
      <c r="G77" s="87" t="str">
        <f t="shared" si="11"/>
        <v>Y</v>
      </c>
      <c r="H77" s="80">
        <v>6</v>
      </c>
      <c r="I77" s="86">
        <v>6</v>
      </c>
      <c r="J77" s="87" t="str">
        <f t="shared" si="12"/>
        <v>Y</v>
      </c>
      <c r="K77" s="88">
        <v>8</v>
      </c>
      <c r="L77" s="91">
        <v>8</v>
      </c>
      <c r="M77" s="92">
        <v>8</v>
      </c>
      <c r="N77" s="94">
        <v>7</v>
      </c>
      <c r="O77" s="94">
        <v>6</v>
      </c>
      <c r="P77" s="93">
        <f t="shared" si="13"/>
        <v>37</v>
      </c>
      <c r="Q77" s="87" t="str">
        <f t="shared" si="14"/>
        <v>Y</v>
      </c>
      <c r="R77" s="80">
        <v>6</v>
      </c>
      <c r="S77" s="80">
        <v>6</v>
      </c>
      <c r="T77" s="87" t="str">
        <f t="shared" si="15"/>
        <v>Y</v>
      </c>
      <c r="U77" s="80">
        <v>10</v>
      </c>
      <c r="V77" s="80">
        <v>8</v>
      </c>
      <c r="W77" s="80">
        <v>7</v>
      </c>
      <c r="X77" s="80">
        <f t="shared" si="16"/>
        <v>25</v>
      </c>
      <c r="Y77" s="144" t="str">
        <f t="shared" si="17"/>
        <v>Y</v>
      </c>
      <c r="Z77" s="101">
        <v>6</v>
      </c>
      <c r="AA77" s="101">
        <v>7</v>
      </c>
      <c r="AB77" s="101">
        <v>10</v>
      </c>
      <c r="AC77" s="147">
        <f t="shared" si="18"/>
        <v>23</v>
      </c>
      <c r="AD77" s="87" t="str">
        <f t="shared" si="19"/>
        <v>Y</v>
      </c>
    </row>
    <row r="78" spans="1:30" ht="15.75" customHeight="1" thickBot="1">
      <c r="A78" s="28">
        <v>69</v>
      </c>
      <c r="B78" s="129" t="s">
        <v>85</v>
      </c>
      <c r="C78" s="123" t="s">
        <v>241</v>
      </c>
      <c r="D78" s="80">
        <v>9</v>
      </c>
      <c r="E78" s="42">
        <v>6</v>
      </c>
      <c r="F78" s="86">
        <f t="shared" si="10"/>
        <v>15</v>
      </c>
      <c r="G78" s="87" t="str">
        <f t="shared" si="11"/>
        <v>Y</v>
      </c>
      <c r="H78" s="80">
        <v>6</v>
      </c>
      <c r="I78" s="86">
        <v>6</v>
      </c>
      <c r="J78" s="87" t="str">
        <f t="shared" si="12"/>
        <v>Y</v>
      </c>
      <c r="K78" s="88">
        <v>8</v>
      </c>
      <c r="L78" s="91">
        <v>8</v>
      </c>
      <c r="M78" s="92">
        <v>8</v>
      </c>
      <c r="N78" s="94">
        <v>7</v>
      </c>
      <c r="O78" s="94">
        <v>5</v>
      </c>
      <c r="P78" s="93">
        <f t="shared" si="13"/>
        <v>36</v>
      </c>
      <c r="Q78" s="87" t="str">
        <f t="shared" si="14"/>
        <v>Y</v>
      </c>
      <c r="R78" s="80">
        <v>8</v>
      </c>
      <c r="S78" s="80">
        <v>8</v>
      </c>
      <c r="T78" s="87" t="str">
        <f t="shared" si="15"/>
        <v>Y</v>
      </c>
      <c r="U78" s="80">
        <v>6</v>
      </c>
      <c r="V78" s="80">
        <v>10</v>
      </c>
      <c r="W78" s="80">
        <v>7</v>
      </c>
      <c r="X78" s="80">
        <f t="shared" si="16"/>
        <v>23</v>
      </c>
      <c r="Y78" s="144" t="str">
        <f t="shared" si="17"/>
        <v>Y</v>
      </c>
      <c r="Z78" s="101">
        <v>7</v>
      </c>
      <c r="AA78" s="101">
        <v>7</v>
      </c>
      <c r="AB78" s="101">
        <v>6</v>
      </c>
      <c r="AC78" s="147">
        <f t="shared" si="18"/>
        <v>20</v>
      </c>
      <c r="AD78" s="87" t="str">
        <f t="shared" si="19"/>
        <v>Y</v>
      </c>
    </row>
    <row r="79" spans="1:30" ht="15.75" customHeight="1" thickBot="1">
      <c r="A79" s="28">
        <v>70</v>
      </c>
      <c r="B79" s="129" t="s">
        <v>86</v>
      </c>
      <c r="C79" s="123" t="s">
        <v>242</v>
      </c>
      <c r="D79" s="80">
        <v>9</v>
      </c>
      <c r="E79" s="42">
        <v>6</v>
      </c>
      <c r="F79" s="86">
        <f t="shared" si="10"/>
        <v>15</v>
      </c>
      <c r="G79" s="87" t="str">
        <f t="shared" si="11"/>
        <v>Y</v>
      </c>
      <c r="H79" s="80">
        <v>6</v>
      </c>
      <c r="I79" s="86">
        <v>6</v>
      </c>
      <c r="J79" s="87" t="str">
        <f t="shared" si="12"/>
        <v>Y</v>
      </c>
      <c r="K79" s="88">
        <v>8</v>
      </c>
      <c r="L79" s="91">
        <v>8</v>
      </c>
      <c r="M79" s="92">
        <v>8</v>
      </c>
      <c r="N79" s="94">
        <v>7</v>
      </c>
      <c r="O79" s="94">
        <v>8</v>
      </c>
      <c r="P79" s="93">
        <f t="shared" si="13"/>
        <v>39</v>
      </c>
      <c r="Q79" s="87" t="str">
        <f t="shared" si="14"/>
        <v>Y</v>
      </c>
      <c r="R79" s="80">
        <v>9</v>
      </c>
      <c r="S79" s="80">
        <v>9</v>
      </c>
      <c r="T79" s="87" t="str">
        <f t="shared" si="15"/>
        <v>Y</v>
      </c>
      <c r="U79" s="80">
        <v>10</v>
      </c>
      <c r="V79" s="80">
        <v>6</v>
      </c>
      <c r="W79" s="80">
        <v>7</v>
      </c>
      <c r="X79" s="80">
        <f t="shared" si="16"/>
        <v>23</v>
      </c>
      <c r="Y79" s="144" t="str">
        <f t="shared" si="17"/>
        <v>Y</v>
      </c>
      <c r="Z79" s="101">
        <v>7</v>
      </c>
      <c r="AA79" s="101">
        <v>7</v>
      </c>
      <c r="AB79" s="101">
        <v>8</v>
      </c>
      <c r="AC79" s="147">
        <f t="shared" si="18"/>
        <v>22</v>
      </c>
      <c r="AD79" s="87" t="str">
        <f t="shared" si="19"/>
        <v>Y</v>
      </c>
    </row>
    <row r="80" spans="1:30" ht="15.75" customHeight="1" thickBot="1">
      <c r="A80" s="28">
        <v>71</v>
      </c>
      <c r="B80" s="129" t="s">
        <v>87</v>
      </c>
      <c r="C80" s="123" t="s">
        <v>243</v>
      </c>
      <c r="D80" s="80">
        <v>9</v>
      </c>
      <c r="E80" s="42">
        <v>6</v>
      </c>
      <c r="F80" s="86">
        <f t="shared" si="10"/>
        <v>15</v>
      </c>
      <c r="G80" s="87" t="str">
        <f t="shared" si="11"/>
        <v>Y</v>
      </c>
      <c r="H80" s="80">
        <v>6</v>
      </c>
      <c r="I80" s="86">
        <v>6</v>
      </c>
      <c r="J80" s="87" t="str">
        <f t="shared" si="12"/>
        <v>Y</v>
      </c>
      <c r="K80" s="88">
        <v>8</v>
      </c>
      <c r="L80" s="91">
        <v>8</v>
      </c>
      <c r="M80" s="92">
        <v>8</v>
      </c>
      <c r="N80" s="94">
        <v>8</v>
      </c>
      <c r="O80" s="94">
        <v>6</v>
      </c>
      <c r="P80" s="93">
        <f t="shared" si="13"/>
        <v>38</v>
      </c>
      <c r="Q80" s="87" t="str">
        <f t="shared" si="14"/>
        <v>Y</v>
      </c>
      <c r="R80" s="80">
        <v>9</v>
      </c>
      <c r="S80" s="80">
        <v>9</v>
      </c>
      <c r="T80" s="87" t="str">
        <f t="shared" si="15"/>
        <v>Y</v>
      </c>
      <c r="U80" s="80">
        <v>10</v>
      </c>
      <c r="V80" s="80">
        <v>10</v>
      </c>
      <c r="W80" s="80">
        <v>7</v>
      </c>
      <c r="X80" s="80">
        <f t="shared" si="16"/>
        <v>27</v>
      </c>
      <c r="Y80" s="144" t="str">
        <f t="shared" si="17"/>
        <v>Y</v>
      </c>
      <c r="Z80" s="101">
        <v>7</v>
      </c>
      <c r="AA80" s="101">
        <v>7</v>
      </c>
      <c r="AB80" s="101">
        <v>6</v>
      </c>
      <c r="AC80" s="147">
        <f t="shared" si="18"/>
        <v>20</v>
      </c>
      <c r="AD80" s="87" t="str">
        <f t="shared" si="19"/>
        <v>Y</v>
      </c>
    </row>
    <row r="81" spans="1:30" ht="15.75" customHeight="1" thickBot="1">
      <c r="A81" s="28">
        <v>72</v>
      </c>
      <c r="B81" s="129" t="s">
        <v>88</v>
      </c>
      <c r="C81" s="123" t="s">
        <v>244</v>
      </c>
      <c r="D81" s="80">
        <v>9</v>
      </c>
      <c r="E81" s="42">
        <v>6</v>
      </c>
      <c r="F81" s="86">
        <f t="shared" si="10"/>
        <v>15</v>
      </c>
      <c r="G81" s="87" t="str">
        <f t="shared" si="11"/>
        <v>Y</v>
      </c>
      <c r="H81" s="80">
        <v>6</v>
      </c>
      <c r="I81" s="86">
        <v>6</v>
      </c>
      <c r="J81" s="87" t="str">
        <f t="shared" si="12"/>
        <v>Y</v>
      </c>
      <c r="K81" s="88">
        <v>8</v>
      </c>
      <c r="L81" s="91">
        <v>8</v>
      </c>
      <c r="M81" s="92">
        <v>8</v>
      </c>
      <c r="N81" s="94">
        <v>6</v>
      </c>
      <c r="O81" s="94">
        <v>5</v>
      </c>
      <c r="P81" s="93">
        <f t="shared" si="13"/>
        <v>35</v>
      </c>
      <c r="Q81" s="87" t="str">
        <f t="shared" si="14"/>
        <v>Y</v>
      </c>
      <c r="R81" s="80">
        <v>9</v>
      </c>
      <c r="S81" s="80">
        <v>9</v>
      </c>
      <c r="T81" s="87" t="str">
        <f t="shared" si="15"/>
        <v>Y</v>
      </c>
      <c r="U81" s="80">
        <v>10</v>
      </c>
      <c r="V81" s="80">
        <v>10</v>
      </c>
      <c r="W81" s="80">
        <v>7</v>
      </c>
      <c r="X81" s="80">
        <f t="shared" si="16"/>
        <v>27</v>
      </c>
      <c r="Y81" s="144" t="str">
        <f t="shared" si="17"/>
        <v>Y</v>
      </c>
      <c r="Z81" s="101">
        <v>7</v>
      </c>
      <c r="AA81" s="101">
        <v>7</v>
      </c>
      <c r="AB81" s="101">
        <v>4</v>
      </c>
      <c r="AC81" s="147">
        <f t="shared" si="18"/>
        <v>18</v>
      </c>
      <c r="AD81" s="87" t="str">
        <f t="shared" si="19"/>
        <v>Y</v>
      </c>
    </row>
    <row r="82" spans="1:30" ht="15.75" customHeight="1" thickBot="1">
      <c r="A82" s="28">
        <v>73</v>
      </c>
      <c r="B82" s="129" t="s">
        <v>245</v>
      </c>
      <c r="C82" s="123" t="s">
        <v>246</v>
      </c>
      <c r="D82" s="80">
        <v>9</v>
      </c>
      <c r="E82" s="42">
        <v>6</v>
      </c>
      <c r="F82" s="86">
        <f t="shared" si="10"/>
        <v>15</v>
      </c>
      <c r="G82" s="87" t="str">
        <f t="shared" si="11"/>
        <v>Y</v>
      </c>
      <c r="H82" s="80">
        <v>6</v>
      </c>
      <c r="I82" s="86">
        <v>6</v>
      </c>
      <c r="J82" s="87" t="str">
        <f t="shared" si="12"/>
        <v>Y</v>
      </c>
      <c r="K82" s="88">
        <v>8</v>
      </c>
      <c r="L82" s="91">
        <v>8</v>
      </c>
      <c r="M82" s="92">
        <v>8</v>
      </c>
      <c r="N82" s="94">
        <v>8</v>
      </c>
      <c r="O82" s="94">
        <v>10</v>
      </c>
      <c r="P82" s="93">
        <f t="shared" si="13"/>
        <v>42</v>
      </c>
      <c r="Q82" s="87" t="str">
        <f t="shared" si="14"/>
        <v>Y</v>
      </c>
      <c r="R82" s="80">
        <v>9</v>
      </c>
      <c r="S82" s="80">
        <v>9</v>
      </c>
      <c r="T82" s="87" t="str">
        <f t="shared" si="15"/>
        <v>Y</v>
      </c>
      <c r="U82" s="80">
        <v>10</v>
      </c>
      <c r="V82" s="80">
        <v>10</v>
      </c>
      <c r="W82" s="80">
        <v>9</v>
      </c>
      <c r="X82" s="80">
        <f t="shared" si="16"/>
        <v>29</v>
      </c>
      <c r="Y82" s="144" t="str">
        <f t="shared" si="17"/>
        <v>Y</v>
      </c>
      <c r="Z82" s="101">
        <v>10</v>
      </c>
      <c r="AA82" s="101">
        <v>7</v>
      </c>
      <c r="AB82" s="101">
        <v>10</v>
      </c>
      <c r="AC82" s="147">
        <f t="shared" si="18"/>
        <v>27</v>
      </c>
      <c r="AD82" s="87" t="str">
        <f t="shared" si="19"/>
        <v>Y</v>
      </c>
    </row>
    <row r="83" spans="1:30" ht="15.75" customHeight="1" thickBot="1">
      <c r="A83" s="28">
        <v>74</v>
      </c>
      <c r="B83" s="129" t="s">
        <v>247</v>
      </c>
      <c r="C83" s="123" t="s">
        <v>248</v>
      </c>
      <c r="D83" s="80">
        <v>9</v>
      </c>
      <c r="E83" s="42">
        <v>6</v>
      </c>
      <c r="F83" s="86">
        <f t="shared" si="10"/>
        <v>15</v>
      </c>
      <c r="G83" s="87" t="str">
        <f t="shared" si="11"/>
        <v>Y</v>
      </c>
      <c r="H83" s="80">
        <v>6</v>
      </c>
      <c r="I83" s="86">
        <v>6</v>
      </c>
      <c r="J83" s="87" t="str">
        <f t="shared" si="12"/>
        <v>Y</v>
      </c>
      <c r="K83" s="88">
        <v>8</v>
      </c>
      <c r="L83" s="91">
        <v>8</v>
      </c>
      <c r="M83" s="92">
        <v>8</v>
      </c>
      <c r="N83" s="94">
        <v>8</v>
      </c>
      <c r="O83" s="94">
        <v>9</v>
      </c>
      <c r="P83" s="93">
        <f t="shared" si="13"/>
        <v>41</v>
      </c>
      <c r="Q83" s="87" t="str">
        <f t="shared" si="14"/>
        <v>Y</v>
      </c>
      <c r="R83" s="80">
        <v>9</v>
      </c>
      <c r="S83" s="80">
        <v>9</v>
      </c>
      <c r="T83" s="87" t="str">
        <f t="shared" si="15"/>
        <v>Y</v>
      </c>
      <c r="U83" s="80">
        <v>10</v>
      </c>
      <c r="V83" s="80">
        <v>8</v>
      </c>
      <c r="W83" s="80">
        <v>7</v>
      </c>
      <c r="X83" s="80">
        <f t="shared" si="16"/>
        <v>25</v>
      </c>
      <c r="Y83" s="144" t="str">
        <f t="shared" si="17"/>
        <v>Y</v>
      </c>
      <c r="Z83" s="101">
        <v>7</v>
      </c>
      <c r="AA83" s="101">
        <v>7</v>
      </c>
      <c r="AB83" s="101">
        <v>10</v>
      </c>
      <c r="AC83" s="147">
        <f t="shared" si="18"/>
        <v>24</v>
      </c>
      <c r="AD83" s="87" t="str">
        <f t="shared" si="19"/>
        <v>Y</v>
      </c>
    </row>
    <row r="84" spans="1:30" ht="15.75" customHeight="1" thickBot="1">
      <c r="A84" s="28">
        <v>75</v>
      </c>
      <c r="B84" s="129" t="s">
        <v>249</v>
      </c>
      <c r="C84" s="123" t="s">
        <v>250</v>
      </c>
      <c r="D84" s="80">
        <v>9</v>
      </c>
      <c r="E84" s="42">
        <v>6</v>
      </c>
      <c r="F84" s="86">
        <f t="shared" si="10"/>
        <v>15</v>
      </c>
      <c r="G84" s="87" t="str">
        <f t="shared" si="11"/>
        <v>Y</v>
      </c>
      <c r="H84" s="80">
        <v>6</v>
      </c>
      <c r="I84" s="86">
        <v>6</v>
      </c>
      <c r="J84" s="87" t="str">
        <f t="shared" si="12"/>
        <v>Y</v>
      </c>
      <c r="K84" s="88">
        <v>8</v>
      </c>
      <c r="L84" s="91">
        <v>8</v>
      </c>
      <c r="M84" s="92">
        <v>8</v>
      </c>
      <c r="N84" s="94">
        <v>8</v>
      </c>
      <c r="O84" s="94">
        <v>10</v>
      </c>
      <c r="P84" s="93">
        <f t="shared" si="13"/>
        <v>42</v>
      </c>
      <c r="Q84" s="87" t="str">
        <f t="shared" si="14"/>
        <v>Y</v>
      </c>
      <c r="R84" s="80">
        <v>9</v>
      </c>
      <c r="S84" s="80">
        <v>9</v>
      </c>
      <c r="T84" s="87" t="str">
        <f t="shared" si="15"/>
        <v>Y</v>
      </c>
      <c r="U84" s="80">
        <v>10</v>
      </c>
      <c r="V84" s="80">
        <v>10</v>
      </c>
      <c r="W84" s="80">
        <v>7</v>
      </c>
      <c r="X84" s="80">
        <f t="shared" si="16"/>
        <v>27</v>
      </c>
      <c r="Y84" s="144" t="str">
        <f t="shared" si="17"/>
        <v>Y</v>
      </c>
      <c r="Z84" s="101">
        <v>7</v>
      </c>
      <c r="AA84" s="101">
        <v>9</v>
      </c>
      <c r="AB84" s="101">
        <v>10</v>
      </c>
      <c r="AC84" s="147">
        <f t="shared" si="18"/>
        <v>26</v>
      </c>
      <c r="AD84" s="87" t="str">
        <f t="shared" si="19"/>
        <v>Y</v>
      </c>
    </row>
    <row r="85" spans="1:30" ht="15.75" customHeight="1" thickBot="1">
      <c r="A85" s="28">
        <v>76</v>
      </c>
      <c r="B85" s="129" t="s">
        <v>251</v>
      </c>
      <c r="C85" s="123" t="s">
        <v>252</v>
      </c>
      <c r="D85" s="80">
        <v>9</v>
      </c>
      <c r="E85" s="42">
        <v>6</v>
      </c>
      <c r="F85" s="86">
        <f t="shared" si="10"/>
        <v>15</v>
      </c>
      <c r="G85" s="87" t="str">
        <f t="shared" si="11"/>
        <v>Y</v>
      </c>
      <c r="H85" s="80">
        <v>6</v>
      </c>
      <c r="I85" s="86">
        <v>6</v>
      </c>
      <c r="J85" s="87" t="str">
        <f t="shared" si="12"/>
        <v>Y</v>
      </c>
      <c r="K85" s="88">
        <v>8</v>
      </c>
      <c r="L85" s="91">
        <v>8</v>
      </c>
      <c r="M85" s="92">
        <v>8</v>
      </c>
      <c r="N85" s="94">
        <v>8</v>
      </c>
      <c r="O85" s="94">
        <v>9</v>
      </c>
      <c r="P85" s="93">
        <f t="shared" si="13"/>
        <v>41</v>
      </c>
      <c r="Q85" s="87" t="str">
        <f t="shared" si="14"/>
        <v>Y</v>
      </c>
      <c r="R85" s="80">
        <v>9</v>
      </c>
      <c r="S85" s="80">
        <v>9</v>
      </c>
      <c r="T85" s="87" t="str">
        <f t="shared" si="15"/>
        <v>Y</v>
      </c>
      <c r="U85" s="80">
        <v>10</v>
      </c>
      <c r="V85" s="80">
        <v>10</v>
      </c>
      <c r="W85" s="80">
        <v>7</v>
      </c>
      <c r="X85" s="80">
        <f t="shared" si="16"/>
        <v>27</v>
      </c>
      <c r="Y85" s="144" t="str">
        <f t="shared" si="17"/>
        <v>Y</v>
      </c>
      <c r="Z85" s="101">
        <v>7</v>
      </c>
      <c r="AA85" s="101">
        <v>7</v>
      </c>
      <c r="AB85" s="101">
        <v>10</v>
      </c>
      <c r="AC85" s="147">
        <f t="shared" si="18"/>
        <v>24</v>
      </c>
      <c r="AD85" s="87" t="str">
        <f t="shared" si="19"/>
        <v>Y</v>
      </c>
    </row>
    <row r="86" spans="1:30" ht="15.75" customHeight="1" thickBot="1">
      <c r="A86" s="28">
        <v>77</v>
      </c>
      <c r="B86" s="129" t="s">
        <v>253</v>
      </c>
      <c r="C86" s="123" t="s">
        <v>254</v>
      </c>
      <c r="D86" s="80">
        <v>9</v>
      </c>
      <c r="E86" s="42">
        <v>6</v>
      </c>
      <c r="F86" s="86">
        <f t="shared" si="10"/>
        <v>15</v>
      </c>
      <c r="G86" s="87" t="str">
        <f t="shared" si="11"/>
        <v>Y</v>
      </c>
      <c r="H86" s="80">
        <v>6</v>
      </c>
      <c r="I86" s="86">
        <v>6</v>
      </c>
      <c r="J86" s="87" t="str">
        <f t="shared" si="12"/>
        <v>Y</v>
      </c>
      <c r="K86" s="88">
        <v>8</v>
      </c>
      <c r="L86" s="91">
        <v>8</v>
      </c>
      <c r="M86" s="92">
        <v>8</v>
      </c>
      <c r="N86" s="94">
        <v>8</v>
      </c>
      <c r="O86" s="94">
        <v>6</v>
      </c>
      <c r="P86" s="93">
        <f t="shared" si="13"/>
        <v>38</v>
      </c>
      <c r="Q86" s="87" t="str">
        <f t="shared" si="14"/>
        <v>Y</v>
      </c>
      <c r="R86" s="80">
        <v>9</v>
      </c>
      <c r="S86" s="80">
        <v>9</v>
      </c>
      <c r="T86" s="87" t="str">
        <f t="shared" si="15"/>
        <v>Y</v>
      </c>
      <c r="U86" s="80">
        <v>6</v>
      </c>
      <c r="V86" s="80">
        <v>6</v>
      </c>
      <c r="W86" s="80">
        <v>7</v>
      </c>
      <c r="X86" s="80">
        <f t="shared" si="16"/>
        <v>19</v>
      </c>
      <c r="Y86" s="144" t="str">
        <f t="shared" si="17"/>
        <v>Y</v>
      </c>
      <c r="Z86" s="101">
        <v>7</v>
      </c>
      <c r="AA86" s="101">
        <v>7</v>
      </c>
      <c r="AB86" s="101">
        <v>10</v>
      </c>
      <c r="AC86" s="147">
        <f t="shared" si="18"/>
        <v>24</v>
      </c>
      <c r="AD86" s="87" t="str">
        <f t="shared" si="19"/>
        <v>Y</v>
      </c>
    </row>
    <row r="87" spans="1:30" ht="15.75" customHeight="1" thickBot="1">
      <c r="A87" s="28">
        <v>78</v>
      </c>
      <c r="B87" s="129" t="s">
        <v>255</v>
      </c>
      <c r="C87" s="123" t="s">
        <v>256</v>
      </c>
      <c r="D87" s="80">
        <v>9</v>
      </c>
      <c r="E87" s="42">
        <v>6</v>
      </c>
      <c r="F87" s="86">
        <f t="shared" si="10"/>
        <v>15</v>
      </c>
      <c r="G87" s="87" t="str">
        <f t="shared" si="11"/>
        <v>Y</v>
      </c>
      <c r="H87" s="80">
        <v>6</v>
      </c>
      <c r="I87" s="86">
        <v>6</v>
      </c>
      <c r="J87" s="87" t="str">
        <f t="shared" si="12"/>
        <v>Y</v>
      </c>
      <c r="K87" s="88">
        <v>8</v>
      </c>
      <c r="L87" s="91">
        <v>8</v>
      </c>
      <c r="M87" s="92">
        <v>8</v>
      </c>
      <c r="N87" s="94">
        <v>8</v>
      </c>
      <c r="O87" s="94">
        <v>9</v>
      </c>
      <c r="P87" s="93">
        <f t="shared" si="13"/>
        <v>41</v>
      </c>
      <c r="Q87" s="87" t="str">
        <f t="shared" si="14"/>
        <v>Y</v>
      </c>
      <c r="R87" s="80">
        <v>9</v>
      </c>
      <c r="S87" s="80">
        <v>9</v>
      </c>
      <c r="T87" s="87" t="str">
        <f t="shared" si="15"/>
        <v>Y</v>
      </c>
      <c r="U87" s="80">
        <v>10</v>
      </c>
      <c r="V87" s="80">
        <v>10</v>
      </c>
      <c r="W87" s="80">
        <v>7</v>
      </c>
      <c r="X87" s="80">
        <f t="shared" si="16"/>
        <v>27</v>
      </c>
      <c r="Y87" s="144" t="str">
        <f t="shared" si="17"/>
        <v>Y</v>
      </c>
      <c r="Z87" s="101">
        <v>7</v>
      </c>
      <c r="AA87" s="101">
        <v>7</v>
      </c>
      <c r="AB87" s="101">
        <v>10</v>
      </c>
      <c r="AC87" s="147">
        <f t="shared" si="18"/>
        <v>24</v>
      </c>
      <c r="AD87" s="87" t="str">
        <f t="shared" si="19"/>
        <v>Y</v>
      </c>
    </row>
    <row r="88" spans="1:30" ht="15.75" customHeight="1" thickBot="1">
      <c r="A88" s="28">
        <v>79</v>
      </c>
      <c r="B88" s="129" t="s">
        <v>257</v>
      </c>
      <c r="C88" s="123" t="s">
        <v>258</v>
      </c>
      <c r="D88" s="80">
        <v>9</v>
      </c>
      <c r="E88" s="42">
        <v>6</v>
      </c>
      <c r="F88" s="86">
        <f t="shared" si="10"/>
        <v>15</v>
      </c>
      <c r="G88" s="87" t="str">
        <f t="shared" si="11"/>
        <v>Y</v>
      </c>
      <c r="H88" s="80">
        <v>6</v>
      </c>
      <c r="I88" s="86">
        <v>6</v>
      </c>
      <c r="J88" s="87" t="str">
        <f t="shared" si="12"/>
        <v>Y</v>
      </c>
      <c r="K88" s="88">
        <v>8</v>
      </c>
      <c r="L88" s="91">
        <v>8</v>
      </c>
      <c r="M88" s="92">
        <v>8</v>
      </c>
      <c r="N88" s="94">
        <v>10</v>
      </c>
      <c r="O88" s="94">
        <v>10</v>
      </c>
      <c r="P88" s="93">
        <f t="shared" si="13"/>
        <v>44</v>
      </c>
      <c r="Q88" s="87" t="str">
        <f t="shared" si="14"/>
        <v>Y</v>
      </c>
      <c r="R88" s="80">
        <v>9</v>
      </c>
      <c r="S88" s="80">
        <v>9</v>
      </c>
      <c r="T88" s="87" t="str">
        <f t="shared" si="15"/>
        <v>Y</v>
      </c>
      <c r="U88" s="80">
        <v>10</v>
      </c>
      <c r="V88" s="80">
        <v>10</v>
      </c>
      <c r="W88" s="80">
        <v>7</v>
      </c>
      <c r="X88" s="80">
        <f t="shared" si="16"/>
        <v>27</v>
      </c>
      <c r="Y88" s="144" t="str">
        <f t="shared" si="17"/>
        <v>Y</v>
      </c>
      <c r="Z88" s="101">
        <v>7</v>
      </c>
      <c r="AA88" s="101">
        <v>7</v>
      </c>
      <c r="AB88" s="101">
        <v>10</v>
      </c>
      <c r="AC88" s="147">
        <f t="shared" si="18"/>
        <v>24</v>
      </c>
      <c r="AD88" s="87" t="str">
        <f t="shared" si="19"/>
        <v>Y</v>
      </c>
    </row>
    <row r="89" spans="1:30" ht="15.75" customHeight="1" thickBot="1">
      <c r="A89" s="28">
        <v>80</v>
      </c>
      <c r="B89" s="129" t="s">
        <v>259</v>
      </c>
      <c r="C89" s="123" t="s">
        <v>260</v>
      </c>
      <c r="D89" s="80">
        <v>9</v>
      </c>
      <c r="E89" s="42">
        <v>6</v>
      </c>
      <c r="F89" s="86">
        <f t="shared" si="10"/>
        <v>15</v>
      </c>
      <c r="G89" s="87" t="str">
        <f t="shared" si="11"/>
        <v>Y</v>
      </c>
      <c r="H89" s="80">
        <v>6</v>
      </c>
      <c r="I89" s="86">
        <v>6</v>
      </c>
      <c r="J89" s="87" t="str">
        <f t="shared" si="12"/>
        <v>Y</v>
      </c>
      <c r="K89" s="88">
        <v>8</v>
      </c>
      <c r="L89" s="91">
        <v>6</v>
      </c>
      <c r="M89" s="92">
        <v>8</v>
      </c>
      <c r="N89" s="94">
        <v>8</v>
      </c>
      <c r="O89" s="94">
        <v>6</v>
      </c>
      <c r="P89" s="93">
        <f t="shared" si="13"/>
        <v>36</v>
      </c>
      <c r="Q89" s="87" t="str">
        <f t="shared" si="14"/>
        <v>Y</v>
      </c>
      <c r="R89" s="80">
        <v>9</v>
      </c>
      <c r="S89" s="80">
        <v>9</v>
      </c>
      <c r="T89" s="87" t="str">
        <f t="shared" si="15"/>
        <v>Y</v>
      </c>
      <c r="U89" s="80">
        <v>7</v>
      </c>
      <c r="V89" s="80">
        <v>10</v>
      </c>
      <c r="W89" s="80">
        <v>7</v>
      </c>
      <c r="X89" s="80">
        <f t="shared" si="16"/>
        <v>24</v>
      </c>
      <c r="Y89" s="144" t="str">
        <f t="shared" si="17"/>
        <v>Y</v>
      </c>
      <c r="Z89" s="101">
        <v>6</v>
      </c>
      <c r="AA89" s="101">
        <v>5</v>
      </c>
      <c r="AB89" s="101">
        <v>10</v>
      </c>
      <c r="AC89" s="147">
        <f t="shared" si="18"/>
        <v>21</v>
      </c>
      <c r="AD89" s="87" t="str">
        <f t="shared" si="19"/>
        <v>Y</v>
      </c>
    </row>
    <row r="90" spans="1:30" ht="15.75" customHeight="1" thickBot="1">
      <c r="A90" s="28">
        <v>81</v>
      </c>
      <c r="B90" s="129" t="s">
        <v>261</v>
      </c>
      <c r="C90" s="123" t="s">
        <v>262</v>
      </c>
      <c r="D90" s="80">
        <v>9</v>
      </c>
      <c r="E90" s="42">
        <v>6</v>
      </c>
      <c r="F90" s="86">
        <f t="shared" si="10"/>
        <v>15</v>
      </c>
      <c r="G90" s="87" t="str">
        <f t="shared" si="11"/>
        <v>Y</v>
      </c>
      <c r="H90" s="80">
        <v>6</v>
      </c>
      <c r="I90" s="86">
        <v>6</v>
      </c>
      <c r="J90" s="87" t="str">
        <f t="shared" si="12"/>
        <v>Y</v>
      </c>
      <c r="K90" s="88">
        <v>8</v>
      </c>
      <c r="L90" s="91">
        <v>6</v>
      </c>
      <c r="M90" s="92">
        <v>8</v>
      </c>
      <c r="N90" s="94">
        <v>8</v>
      </c>
      <c r="O90" s="94">
        <v>9</v>
      </c>
      <c r="P90" s="93">
        <f t="shared" si="13"/>
        <v>39</v>
      </c>
      <c r="Q90" s="87" t="str">
        <f t="shared" si="14"/>
        <v>Y</v>
      </c>
      <c r="R90" s="80">
        <v>9</v>
      </c>
      <c r="S90" s="80">
        <v>9</v>
      </c>
      <c r="T90" s="87" t="str">
        <f t="shared" si="15"/>
        <v>Y</v>
      </c>
      <c r="U90" s="80">
        <v>10</v>
      </c>
      <c r="V90" s="80">
        <v>10</v>
      </c>
      <c r="W90" s="80">
        <v>7</v>
      </c>
      <c r="X90" s="80">
        <f t="shared" si="16"/>
        <v>27</v>
      </c>
      <c r="Y90" s="144" t="str">
        <f t="shared" si="17"/>
        <v>Y</v>
      </c>
      <c r="Z90" s="101">
        <v>7</v>
      </c>
      <c r="AA90" s="101">
        <v>7</v>
      </c>
      <c r="AB90" s="101">
        <v>10</v>
      </c>
      <c r="AC90" s="147">
        <f t="shared" si="18"/>
        <v>24</v>
      </c>
      <c r="AD90" s="87" t="str">
        <f t="shared" si="19"/>
        <v>Y</v>
      </c>
    </row>
    <row r="91" spans="1:30" ht="15.75" customHeight="1">
      <c r="A91" s="28"/>
      <c r="B91" s="230" t="s">
        <v>126</v>
      </c>
      <c r="C91" s="167"/>
      <c r="D91" s="48"/>
      <c r="E91" s="48"/>
      <c r="F91" s="48">
        <f>COUNT(H10:H91)</f>
        <v>80</v>
      </c>
      <c r="G91" s="48"/>
      <c r="H91" s="48"/>
      <c r="I91" s="48">
        <f>COUNT(K10:K91)</f>
        <v>80</v>
      </c>
      <c r="J91" s="48"/>
      <c r="K91" s="47"/>
      <c r="L91" s="90"/>
      <c r="M91" s="90"/>
      <c r="N91" s="90"/>
      <c r="O91" s="90"/>
      <c r="P91" s="48">
        <f>COUNT(R10:R91)</f>
        <v>80</v>
      </c>
      <c r="Q91" s="48"/>
      <c r="R91" s="47"/>
      <c r="S91" s="48">
        <f>COUNT(U10:U91)</f>
        <v>80</v>
      </c>
      <c r="T91" s="48"/>
      <c r="U91" s="51"/>
      <c r="V91" s="51"/>
      <c r="W91" s="47"/>
      <c r="X91" s="48">
        <f>COUNT(Z10:Z91)</f>
        <v>80</v>
      </c>
      <c r="Y91" s="48"/>
      <c r="Z91" s="90"/>
      <c r="AA91" s="90"/>
      <c r="AB91" s="90"/>
      <c r="AC91" s="145">
        <v>81</v>
      </c>
      <c r="AD91" s="145"/>
    </row>
    <row r="92" spans="1:30" ht="15.75" customHeight="1">
      <c r="A92" s="28"/>
      <c r="B92" s="230" t="s">
        <v>127</v>
      </c>
      <c r="C92" s="167"/>
      <c r="D92" s="50"/>
      <c r="E92" s="50"/>
      <c r="F92" s="50"/>
      <c r="G92" s="50">
        <f>COUNTIF(G10:G90,"Y")</f>
        <v>78</v>
      </c>
      <c r="H92" s="50"/>
      <c r="I92" s="47"/>
      <c r="J92" s="50">
        <f>COUNTIF(J10:J90,"Y")</f>
        <v>79</v>
      </c>
      <c r="K92" s="47"/>
      <c r="L92" s="47"/>
      <c r="M92" s="47"/>
      <c r="N92" s="47"/>
      <c r="O92" s="47"/>
      <c r="P92" s="47"/>
      <c r="Q92" s="50">
        <f>COUNTIF(Q10:Q90,"Y")</f>
        <v>79</v>
      </c>
      <c r="R92" s="47"/>
      <c r="S92" s="47"/>
      <c r="T92" s="50">
        <f>COUNTIF(T10:T90,"Y")</f>
        <v>80</v>
      </c>
      <c r="U92" s="47"/>
      <c r="V92" s="47"/>
      <c r="W92" s="47"/>
      <c r="X92" s="47"/>
      <c r="Y92" s="50">
        <f>COUNTIF(Y10:Y90,"Y")</f>
        <v>79</v>
      </c>
      <c r="Z92" s="47"/>
      <c r="AA92" s="47"/>
      <c r="AB92" s="47"/>
      <c r="AC92" s="47"/>
      <c r="AD92" s="50">
        <f>COUNTIF(AD10:AD90,"Y")</f>
        <v>76</v>
      </c>
    </row>
    <row r="93" spans="1:30" ht="15.75" customHeight="1">
      <c r="A93" s="28"/>
      <c r="B93" s="230" t="s">
        <v>128</v>
      </c>
      <c r="C93" s="167"/>
      <c r="D93" s="50"/>
      <c r="E93" s="50"/>
      <c r="F93" s="50"/>
      <c r="G93" s="50">
        <f>COUNTIF(G11:G91,"N")</f>
        <v>3</v>
      </c>
      <c r="H93" s="50"/>
      <c r="I93" s="47"/>
      <c r="J93" s="50">
        <f>COUNTIF(J11:J91,"N")</f>
        <v>2</v>
      </c>
      <c r="K93" s="47"/>
      <c r="L93" s="47"/>
      <c r="M93" s="47"/>
      <c r="N93" s="47"/>
      <c r="O93" s="47"/>
      <c r="P93" s="47"/>
      <c r="Q93" s="50">
        <f>COUNTIF(Q11:Q91,"N")</f>
        <v>2</v>
      </c>
      <c r="R93" s="47"/>
      <c r="S93" s="47"/>
      <c r="T93" s="50">
        <f>COUNTIF(T11:T91,"N")</f>
        <v>1</v>
      </c>
      <c r="U93" s="47"/>
      <c r="V93" s="47"/>
      <c r="W93" s="47"/>
      <c r="X93" s="47"/>
      <c r="Y93" s="50">
        <f>COUNTIF(Y11:Y91,"N")</f>
        <v>2</v>
      </c>
      <c r="Z93" s="47"/>
      <c r="AA93" s="47"/>
      <c r="AB93" s="47"/>
      <c r="AC93" s="47"/>
      <c r="AD93" s="50">
        <f>COUNTIF(AD11:AD91,"N")</f>
        <v>5</v>
      </c>
    </row>
    <row r="94" spans="1:30" ht="15.75" customHeight="1">
      <c r="A94" s="28"/>
      <c r="B94" s="230" t="s">
        <v>129</v>
      </c>
      <c r="C94" s="167"/>
      <c r="D94" s="50"/>
      <c r="E94" s="50"/>
      <c r="F94" s="50"/>
      <c r="G94" s="50">
        <f>COUNTIF(G10:G92,"NA")</f>
        <v>0</v>
      </c>
      <c r="H94" s="50"/>
      <c r="I94" s="47"/>
      <c r="J94" s="50">
        <f>COUNTIF(J10:J92,"NA")</f>
        <v>0</v>
      </c>
      <c r="K94" s="47"/>
      <c r="L94" s="47"/>
      <c r="M94" s="47"/>
      <c r="N94" s="47"/>
      <c r="O94" s="47"/>
      <c r="P94" s="47"/>
      <c r="Q94" s="50">
        <f>COUNTIF(Q10:Q92,"NA")</f>
        <v>0</v>
      </c>
      <c r="R94" s="47"/>
      <c r="S94" s="47"/>
      <c r="T94" s="50">
        <f>COUNTIF(T10:T92,"NA")</f>
        <v>0</v>
      </c>
      <c r="U94" s="47"/>
      <c r="V94" s="47"/>
      <c r="W94" s="47"/>
      <c r="X94" s="47"/>
      <c r="Y94" s="50">
        <f>COUNTIF(Y10:Y92,"NA")</f>
        <v>0</v>
      </c>
      <c r="Z94" s="47"/>
      <c r="AA94" s="47"/>
      <c r="AB94" s="47"/>
      <c r="AC94" s="47"/>
      <c r="AD94" s="50">
        <f>COUNTIF(AD10:AD92,"NA")</f>
        <v>0</v>
      </c>
    </row>
    <row r="95" spans="1:30" ht="15.75" customHeight="1">
      <c r="A95" s="28"/>
      <c r="B95" s="213" t="s">
        <v>130</v>
      </c>
      <c r="C95" s="167"/>
      <c r="D95" s="50"/>
      <c r="E95" s="50"/>
      <c r="F95" s="50"/>
      <c r="G95" s="50">
        <f>G92/F91*100</f>
        <v>97.5</v>
      </c>
      <c r="H95" s="50"/>
      <c r="I95" s="47"/>
      <c r="J95" s="50">
        <f>J92/I91*100</f>
        <v>98.75</v>
      </c>
      <c r="K95" s="52"/>
      <c r="L95" s="52"/>
      <c r="M95" s="52"/>
      <c r="N95" s="97"/>
      <c r="O95" s="97"/>
      <c r="P95" s="97"/>
      <c r="Q95" s="50">
        <f>Q92/P91*100</f>
        <v>98.75</v>
      </c>
      <c r="R95" s="98"/>
      <c r="S95" s="98"/>
      <c r="T95" s="50">
        <f>T92/S91*100</f>
        <v>100</v>
      </c>
      <c r="U95" s="97"/>
      <c r="V95" s="97"/>
      <c r="W95" s="98"/>
      <c r="X95" s="98"/>
      <c r="Y95" s="50">
        <f>Y92/X91*100</f>
        <v>98.75</v>
      </c>
      <c r="Z95" s="98"/>
      <c r="AA95" s="98"/>
      <c r="AB95" s="98"/>
      <c r="AC95" s="98"/>
      <c r="AD95" s="50">
        <f>AD92/AC91*100</f>
        <v>93.827160493827151</v>
      </c>
    </row>
    <row r="96" spans="1:30" ht="15.75" customHeight="1">
      <c r="A96" s="28"/>
      <c r="B96" s="49"/>
      <c r="C96" s="49"/>
      <c r="D96" s="50"/>
      <c r="E96" s="50"/>
      <c r="F96" s="50"/>
      <c r="G96" s="50"/>
      <c r="H96" s="50"/>
      <c r="I96" s="47"/>
      <c r="J96" s="52"/>
      <c r="K96" s="52"/>
      <c r="L96" s="52"/>
      <c r="M96" s="95"/>
      <c r="N96" s="99"/>
      <c r="O96" s="99"/>
      <c r="P96" s="99"/>
      <c r="Q96" s="99"/>
      <c r="R96" s="100"/>
      <c r="S96" s="101"/>
      <c r="T96" s="50"/>
      <c r="U96" s="101"/>
      <c r="V96" s="101"/>
      <c r="W96" s="100"/>
      <c r="X96" s="82"/>
      <c r="Y96" s="82"/>
      <c r="Z96" s="100"/>
      <c r="AA96" s="100"/>
      <c r="AB96" s="100"/>
      <c r="AC96" s="82"/>
      <c r="AD96" s="82"/>
    </row>
    <row r="97" spans="1:30" ht="15.75" customHeight="1">
      <c r="A97" s="28"/>
      <c r="B97" s="213" t="s">
        <v>131</v>
      </c>
      <c r="C97" s="167"/>
      <c r="D97" s="215">
        <f>AVERAGE(G95,J95,Q95,T95,Y95,AD95)</f>
        <v>97.929526748971185</v>
      </c>
      <c r="E97" s="216"/>
      <c r="F97" s="216"/>
      <c r="G97" s="216"/>
      <c r="H97" s="217"/>
      <c r="I97" s="47"/>
      <c r="J97" s="47"/>
      <c r="K97" s="47"/>
      <c r="L97" s="47"/>
      <c r="M97" s="96"/>
      <c r="N97" s="100"/>
      <c r="O97" s="100"/>
      <c r="P97" s="100"/>
      <c r="Q97" s="100"/>
      <c r="R97" s="100"/>
      <c r="S97" s="101"/>
      <c r="T97" s="101"/>
      <c r="U97" s="101"/>
      <c r="V97" s="101"/>
      <c r="W97" s="100"/>
      <c r="X97" s="82"/>
      <c r="Y97" s="82"/>
      <c r="Z97" s="100"/>
      <c r="AA97" s="100"/>
      <c r="AB97" s="100"/>
      <c r="AC97" s="82"/>
      <c r="AD97" s="82"/>
    </row>
    <row r="98" spans="1:30" ht="15.75" customHeight="1">
      <c r="A98" s="28"/>
      <c r="B98" s="214" t="s">
        <v>93</v>
      </c>
      <c r="C98" s="167"/>
      <c r="D98" s="218">
        <v>3</v>
      </c>
      <c r="E98" s="219"/>
      <c r="F98" s="219"/>
      <c r="G98" s="219"/>
      <c r="H98" s="220"/>
      <c r="I98" s="47"/>
      <c r="J98" s="47"/>
      <c r="K98" s="47"/>
      <c r="L98" s="47"/>
      <c r="M98" s="96"/>
      <c r="N98" s="100"/>
      <c r="O98" s="100"/>
      <c r="P98" s="100"/>
      <c r="Q98" s="100"/>
      <c r="R98" s="100"/>
      <c r="S98" s="101"/>
      <c r="T98" s="101"/>
      <c r="U98" s="101"/>
      <c r="V98" s="101"/>
      <c r="W98" s="100"/>
      <c r="X98" s="82"/>
      <c r="Y98" s="82"/>
      <c r="Z98" s="100"/>
      <c r="AA98" s="100"/>
      <c r="AB98" s="100"/>
      <c r="AC98" s="82"/>
      <c r="AD98" s="82"/>
    </row>
    <row r="99" spans="1:30" ht="15.75" customHeight="1">
      <c r="A99" s="28"/>
      <c r="B99" s="1"/>
      <c r="C99" s="28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W99" s="1"/>
      <c r="X99" s="18"/>
      <c r="Y99" s="18"/>
    </row>
    <row r="100" spans="1:30" ht="15.75" customHeight="1">
      <c r="A100" s="28"/>
      <c r="B100" s="1"/>
      <c r="C100" s="28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W100" s="1"/>
      <c r="X100" s="18"/>
      <c r="Y100" s="18"/>
    </row>
    <row r="101" spans="1:30" ht="15.75" customHeight="1">
      <c r="A101" s="28"/>
      <c r="B101" s="1"/>
      <c r="C101" s="28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W101" s="1"/>
      <c r="X101" s="18"/>
      <c r="Y101" s="18"/>
    </row>
    <row r="102" spans="1:30" ht="15.75" customHeight="1">
      <c r="A102" s="28"/>
      <c r="B102" s="1"/>
      <c r="C102" s="28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W102" s="1"/>
      <c r="X102" s="18"/>
      <c r="Y102" s="18"/>
    </row>
    <row r="103" spans="1:30" ht="15.75" customHeight="1">
      <c r="A103" s="28"/>
      <c r="B103" s="1"/>
      <c r="C103" s="28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W103" s="1"/>
      <c r="X103" s="18"/>
      <c r="Y103" s="18"/>
    </row>
    <row r="104" spans="1:30" ht="15.75" customHeight="1">
      <c r="A104" s="28"/>
      <c r="B104" s="1"/>
      <c r="C104" s="28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W104" s="1"/>
      <c r="X104" s="18"/>
      <c r="Y104" s="18"/>
    </row>
    <row r="105" spans="1:30" ht="15.75" customHeight="1">
      <c r="A105" s="28"/>
      <c r="B105" s="1"/>
      <c r="C105" s="28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W105" s="1"/>
      <c r="X105" s="18"/>
      <c r="Y105" s="18"/>
    </row>
    <row r="106" spans="1:30" ht="15.75" customHeight="1">
      <c r="A106" s="28"/>
      <c r="B106" s="1"/>
      <c r="C106" s="28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W106" s="1"/>
      <c r="X106" s="18"/>
      <c r="Y106" s="18"/>
    </row>
    <row r="107" spans="1:30" ht="15.75" customHeight="1">
      <c r="A107" s="28"/>
      <c r="B107" s="1"/>
      <c r="C107" s="28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W107" s="1"/>
      <c r="X107" s="18"/>
      <c r="Y107" s="18"/>
    </row>
    <row r="108" spans="1:30" ht="15.75" customHeight="1">
      <c r="A108" s="28"/>
      <c r="B108" s="1"/>
      <c r="C108" s="28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W108" s="1"/>
      <c r="X108" s="18"/>
      <c r="Y108" s="18"/>
    </row>
    <row r="109" spans="1:30" ht="15.75" customHeight="1">
      <c r="A109" s="28"/>
      <c r="B109" s="1"/>
      <c r="C109" s="28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W109" s="1"/>
      <c r="X109" s="18"/>
      <c r="Y109" s="18"/>
    </row>
    <row r="110" spans="1:30" ht="15.75" customHeight="1">
      <c r="A110" s="28"/>
      <c r="B110" s="1"/>
      <c r="C110" s="28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W110" s="1"/>
      <c r="X110" s="18"/>
      <c r="Y110" s="18"/>
    </row>
    <row r="111" spans="1:30" ht="15.75" customHeight="1">
      <c r="A111" s="28"/>
      <c r="B111" s="1"/>
      <c r="C111" s="28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W111" s="1"/>
      <c r="X111" s="18"/>
      <c r="Y111" s="18"/>
    </row>
    <row r="112" spans="1:30" ht="15.75" customHeight="1">
      <c r="A112" s="28"/>
      <c r="B112" s="1"/>
      <c r="C112" s="28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W112" s="1"/>
      <c r="X112" s="18"/>
      <c r="Y112" s="18"/>
    </row>
    <row r="113" spans="1:25" ht="15.75" customHeight="1">
      <c r="A113" s="28"/>
      <c r="B113" s="1"/>
      <c r="C113" s="28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W113" s="1"/>
      <c r="X113" s="18"/>
      <c r="Y113" s="18"/>
    </row>
    <row r="114" spans="1:25" ht="15.75" customHeight="1">
      <c r="A114" s="28"/>
      <c r="B114" s="1"/>
      <c r="C114" s="28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W114" s="1"/>
      <c r="X114" s="18"/>
      <c r="Y114" s="18"/>
    </row>
    <row r="115" spans="1:25" ht="15.75" customHeight="1">
      <c r="A115" s="28"/>
      <c r="B115" s="1"/>
      <c r="C115" s="28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W115" s="1"/>
      <c r="X115" s="18"/>
      <c r="Y115" s="18"/>
    </row>
    <row r="116" spans="1:25" ht="15.75" customHeight="1">
      <c r="A116" s="28"/>
      <c r="B116" s="1"/>
      <c r="C116" s="28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W116" s="1"/>
      <c r="X116" s="18"/>
      <c r="Y116" s="18"/>
    </row>
    <row r="117" spans="1:25" ht="15.75" customHeight="1">
      <c r="A117" s="28"/>
      <c r="B117" s="1"/>
      <c r="C117" s="28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W117" s="1"/>
      <c r="X117" s="18"/>
      <c r="Y117" s="18"/>
    </row>
    <row r="118" spans="1:25" ht="15.75" customHeight="1">
      <c r="A118" s="28"/>
      <c r="B118" s="1"/>
      <c r="C118" s="28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W118" s="1"/>
      <c r="X118" s="18"/>
      <c r="Y118" s="18"/>
    </row>
    <row r="119" spans="1:25" ht="15.75" customHeight="1">
      <c r="A119" s="28"/>
      <c r="B119" s="1"/>
      <c r="C119" s="28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W119" s="1"/>
      <c r="X119" s="18"/>
      <c r="Y119" s="18"/>
    </row>
    <row r="120" spans="1:25" ht="15.75" customHeight="1">
      <c r="A120" s="28"/>
      <c r="B120" s="1"/>
      <c r="C120" s="28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W120" s="1"/>
      <c r="X120" s="18"/>
      <c r="Y120" s="18"/>
    </row>
    <row r="121" spans="1:25" ht="15.75" customHeight="1">
      <c r="A121" s="28"/>
      <c r="B121" s="1"/>
      <c r="C121" s="28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W121" s="1"/>
      <c r="X121" s="18"/>
      <c r="Y121" s="18"/>
    </row>
    <row r="122" spans="1:25" ht="15.75" customHeight="1">
      <c r="A122" s="28"/>
      <c r="B122" s="1"/>
      <c r="C122" s="28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W122" s="1"/>
      <c r="X122" s="18"/>
      <c r="Y122" s="18"/>
    </row>
    <row r="123" spans="1:25" ht="15.75" customHeight="1">
      <c r="A123" s="28"/>
      <c r="B123" s="1"/>
      <c r="C123" s="28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W123" s="1"/>
      <c r="X123" s="18"/>
      <c r="Y123" s="18"/>
    </row>
    <row r="124" spans="1:25" ht="15.75" customHeight="1">
      <c r="A124" s="28"/>
      <c r="B124" s="1"/>
      <c r="C124" s="28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W124" s="1"/>
      <c r="X124" s="18"/>
      <c r="Y124" s="18"/>
    </row>
    <row r="125" spans="1:25" ht="15.75" customHeight="1">
      <c r="A125" s="28"/>
      <c r="B125" s="1"/>
      <c r="C125" s="28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W125" s="1"/>
      <c r="X125" s="18"/>
      <c r="Y125" s="18"/>
    </row>
    <row r="126" spans="1:25" ht="15.75" customHeight="1">
      <c r="A126" s="28"/>
      <c r="B126" s="1"/>
      <c r="C126" s="28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W126" s="1"/>
      <c r="X126" s="18"/>
      <c r="Y126" s="18"/>
    </row>
    <row r="127" spans="1:25" ht="15.75" customHeight="1">
      <c r="A127" s="28"/>
      <c r="B127" s="1"/>
      <c r="C127" s="28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W127" s="1"/>
      <c r="X127" s="18"/>
      <c r="Y127" s="18"/>
    </row>
    <row r="128" spans="1:25" ht="15.75" customHeight="1">
      <c r="A128" s="28"/>
      <c r="B128" s="1"/>
      <c r="C128" s="28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W128" s="1"/>
      <c r="X128" s="18"/>
      <c r="Y128" s="18"/>
    </row>
    <row r="129" spans="1:25" ht="15.75" customHeight="1">
      <c r="A129" s="28"/>
      <c r="B129" s="1"/>
      <c r="C129" s="28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W129" s="1"/>
      <c r="X129" s="18"/>
      <c r="Y129" s="18"/>
    </row>
    <row r="130" spans="1:25" ht="15.75" customHeight="1">
      <c r="A130" s="28"/>
      <c r="B130" s="1"/>
      <c r="C130" s="28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W130" s="1"/>
      <c r="X130" s="18"/>
      <c r="Y130" s="18"/>
    </row>
    <row r="131" spans="1:25" ht="15.75" customHeight="1">
      <c r="A131" s="28"/>
      <c r="B131" s="1"/>
      <c r="C131" s="28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W131" s="1"/>
      <c r="X131" s="18"/>
      <c r="Y131" s="18"/>
    </row>
    <row r="132" spans="1:25" ht="15.75" customHeight="1">
      <c r="A132" s="28"/>
      <c r="B132" s="1"/>
      <c r="C132" s="28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W132" s="1"/>
      <c r="X132" s="18"/>
      <c r="Y132" s="18"/>
    </row>
    <row r="133" spans="1:25" ht="15.75" customHeight="1">
      <c r="A133" s="28"/>
      <c r="B133" s="1"/>
      <c r="C133" s="28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W133" s="1"/>
      <c r="X133" s="18"/>
      <c r="Y133" s="18"/>
    </row>
    <row r="134" spans="1:25" ht="15.75" customHeight="1">
      <c r="A134" s="28"/>
      <c r="B134" s="1"/>
      <c r="C134" s="28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W134" s="1"/>
      <c r="X134" s="18"/>
      <c r="Y134" s="18"/>
    </row>
    <row r="135" spans="1:25" ht="15.75" customHeight="1">
      <c r="A135" s="28"/>
      <c r="B135" s="1"/>
      <c r="C135" s="28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W135" s="1"/>
      <c r="X135" s="18"/>
      <c r="Y135" s="18"/>
    </row>
    <row r="136" spans="1:25" ht="15.75" customHeight="1">
      <c r="A136" s="28"/>
      <c r="B136" s="1"/>
      <c r="C136" s="28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W136" s="1"/>
      <c r="X136" s="18"/>
      <c r="Y136" s="18"/>
    </row>
    <row r="137" spans="1:25" ht="15.75" customHeight="1">
      <c r="A137" s="28"/>
      <c r="B137" s="1"/>
      <c r="C137" s="28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W137" s="1"/>
      <c r="X137" s="18"/>
      <c r="Y137" s="18"/>
    </row>
    <row r="138" spans="1:25" ht="15.75" customHeight="1">
      <c r="A138" s="28"/>
      <c r="B138" s="1"/>
      <c r="C138" s="28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W138" s="1"/>
      <c r="X138" s="18"/>
      <c r="Y138" s="18"/>
    </row>
    <row r="139" spans="1:25" ht="15.75" customHeight="1">
      <c r="A139" s="28"/>
      <c r="B139" s="1"/>
      <c r="C139" s="28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W139" s="1"/>
      <c r="X139" s="18"/>
      <c r="Y139" s="18"/>
    </row>
    <row r="140" spans="1:25" ht="15.75" customHeight="1">
      <c r="A140" s="28"/>
      <c r="B140" s="1"/>
      <c r="C140" s="28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W140" s="1"/>
      <c r="X140" s="18"/>
      <c r="Y140" s="18"/>
    </row>
    <row r="141" spans="1:25" ht="15.75" customHeight="1">
      <c r="A141" s="28"/>
      <c r="B141" s="1"/>
      <c r="C141" s="28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W141" s="1"/>
      <c r="X141" s="18"/>
      <c r="Y141" s="18"/>
    </row>
    <row r="142" spans="1:25" ht="15.75" customHeight="1">
      <c r="A142" s="28"/>
      <c r="B142" s="1"/>
      <c r="C142" s="28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W142" s="1"/>
      <c r="X142" s="18"/>
      <c r="Y142" s="18"/>
    </row>
    <row r="143" spans="1:25" ht="15.75" customHeight="1">
      <c r="A143" s="28"/>
      <c r="B143" s="1"/>
      <c r="C143" s="28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W143" s="1"/>
      <c r="X143" s="18"/>
      <c r="Y143" s="18"/>
    </row>
    <row r="144" spans="1:25" ht="15.75" customHeight="1">
      <c r="A144" s="28"/>
      <c r="B144" s="1"/>
      <c r="C144" s="28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W144" s="1"/>
      <c r="X144" s="18"/>
      <c r="Y144" s="18"/>
    </row>
    <row r="145" spans="1:25" ht="15.75" customHeight="1">
      <c r="A145" s="28"/>
      <c r="B145" s="1"/>
      <c r="C145" s="28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W145" s="1"/>
      <c r="X145" s="18"/>
      <c r="Y145" s="18"/>
    </row>
    <row r="146" spans="1:25" ht="15.75" customHeight="1">
      <c r="A146" s="28"/>
      <c r="B146" s="1"/>
      <c r="C146" s="28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W146" s="1"/>
      <c r="X146" s="18"/>
      <c r="Y146" s="18"/>
    </row>
    <row r="147" spans="1:25" ht="15.75" customHeight="1">
      <c r="A147" s="28"/>
      <c r="B147" s="1"/>
      <c r="C147" s="28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W147" s="1"/>
      <c r="X147" s="18"/>
      <c r="Y147" s="18"/>
    </row>
    <row r="148" spans="1:25" ht="15.75" customHeight="1">
      <c r="A148" s="28"/>
      <c r="B148" s="1"/>
      <c r="C148" s="28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W148" s="1"/>
      <c r="X148" s="18"/>
      <c r="Y148" s="18"/>
    </row>
    <row r="149" spans="1:25" ht="15.75" customHeight="1">
      <c r="A149" s="28"/>
      <c r="B149" s="1"/>
      <c r="C149" s="28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W149" s="1"/>
      <c r="X149" s="18"/>
      <c r="Y149" s="18"/>
    </row>
    <row r="150" spans="1:25" ht="15.75" customHeight="1">
      <c r="A150" s="28"/>
      <c r="B150" s="1"/>
      <c r="C150" s="28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W150" s="1"/>
      <c r="X150" s="18"/>
      <c r="Y150" s="18"/>
    </row>
    <row r="151" spans="1:25" ht="15.75" customHeight="1">
      <c r="A151" s="28"/>
      <c r="B151" s="1"/>
      <c r="C151" s="28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W151" s="1"/>
      <c r="X151" s="18"/>
      <c r="Y151" s="18"/>
    </row>
    <row r="152" spans="1:25" ht="15.75" customHeight="1">
      <c r="A152" s="28"/>
      <c r="B152" s="1"/>
      <c r="C152" s="28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W152" s="1"/>
      <c r="X152" s="18"/>
      <c r="Y152" s="18"/>
    </row>
    <row r="153" spans="1:25" ht="15.75" customHeight="1">
      <c r="A153" s="28"/>
      <c r="B153" s="1"/>
      <c r="C153" s="28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W153" s="1"/>
      <c r="X153" s="18"/>
      <c r="Y153" s="18"/>
    </row>
    <row r="154" spans="1:25" ht="15.75" customHeight="1">
      <c r="A154" s="28"/>
      <c r="B154" s="1"/>
      <c r="C154" s="28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W154" s="1"/>
      <c r="X154" s="18"/>
      <c r="Y154" s="18"/>
    </row>
    <row r="155" spans="1:25" ht="15.75" customHeight="1">
      <c r="A155" s="28"/>
      <c r="B155" s="1"/>
      <c r="C155" s="28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W155" s="1"/>
      <c r="X155" s="18"/>
      <c r="Y155" s="18"/>
    </row>
    <row r="156" spans="1:25" ht="15.75" customHeight="1">
      <c r="A156" s="28"/>
      <c r="B156" s="1"/>
      <c r="C156" s="28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W156" s="1"/>
      <c r="X156" s="18"/>
      <c r="Y156" s="18"/>
    </row>
    <row r="157" spans="1:25" ht="15.75" customHeight="1">
      <c r="A157" s="28"/>
      <c r="B157" s="1"/>
      <c r="C157" s="28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W157" s="1"/>
      <c r="X157" s="18"/>
      <c r="Y157" s="18"/>
    </row>
    <row r="158" spans="1:25" ht="15.75" customHeight="1">
      <c r="A158" s="28"/>
      <c r="B158" s="1"/>
      <c r="C158" s="28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W158" s="1"/>
      <c r="X158" s="18"/>
      <c r="Y158" s="18"/>
    </row>
    <row r="159" spans="1:25" ht="15.75" customHeight="1">
      <c r="A159" s="28"/>
      <c r="B159" s="1"/>
      <c r="C159" s="28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W159" s="1"/>
      <c r="X159" s="18"/>
      <c r="Y159" s="18"/>
    </row>
    <row r="160" spans="1:25" ht="15.75" customHeight="1">
      <c r="A160" s="28"/>
      <c r="B160" s="1"/>
      <c r="C160" s="28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W160" s="1"/>
      <c r="X160" s="18"/>
      <c r="Y160" s="18"/>
    </row>
    <row r="161" spans="1:25" ht="15.75" customHeight="1">
      <c r="A161" s="28"/>
      <c r="B161" s="1"/>
      <c r="C161" s="28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W161" s="1"/>
      <c r="X161" s="18"/>
      <c r="Y161" s="18"/>
    </row>
    <row r="162" spans="1:25" ht="15.75" customHeight="1">
      <c r="A162" s="28"/>
      <c r="B162" s="1"/>
      <c r="C162" s="28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W162" s="1"/>
      <c r="X162" s="18"/>
      <c r="Y162" s="18"/>
    </row>
    <row r="163" spans="1:25" ht="15.75" customHeight="1">
      <c r="A163" s="28"/>
      <c r="B163" s="1"/>
      <c r="C163" s="28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W163" s="1"/>
      <c r="X163" s="18"/>
      <c r="Y163" s="18"/>
    </row>
    <row r="164" spans="1:25" ht="15.75" customHeight="1">
      <c r="A164" s="28"/>
      <c r="B164" s="1"/>
      <c r="C164" s="28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W164" s="1"/>
      <c r="X164" s="18"/>
      <c r="Y164" s="18"/>
    </row>
    <row r="165" spans="1:25" ht="15.75" customHeight="1">
      <c r="A165" s="28"/>
      <c r="B165" s="1"/>
      <c r="C165" s="28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W165" s="1"/>
      <c r="X165" s="18"/>
      <c r="Y165" s="18"/>
    </row>
    <row r="166" spans="1:25" ht="15.75" customHeight="1">
      <c r="A166" s="28"/>
      <c r="B166" s="1"/>
      <c r="C166" s="28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W166" s="1"/>
      <c r="X166" s="18"/>
      <c r="Y166" s="18"/>
    </row>
    <row r="167" spans="1:25" ht="15.75" customHeight="1">
      <c r="A167" s="28"/>
      <c r="B167" s="1"/>
      <c r="C167" s="28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W167" s="1"/>
      <c r="X167" s="18"/>
      <c r="Y167" s="18"/>
    </row>
    <row r="168" spans="1:25" ht="15.75" customHeight="1">
      <c r="A168" s="28"/>
      <c r="B168" s="1"/>
      <c r="C168" s="28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W168" s="1"/>
      <c r="X168" s="18"/>
      <c r="Y168" s="18"/>
    </row>
    <row r="169" spans="1:25" ht="15.75" customHeight="1">
      <c r="A169" s="28"/>
      <c r="B169" s="1"/>
      <c r="C169" s="28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W169" s="1"/>
      <c r="X169" s="18"/>
      <c r="Y169" s="18"/>
    </row>
    <row r="170" spans="1:25" ht="15.75" customHeight="1">
      <c r="A170" s="28"/>
      <c r="B170" s="1"/>
      <c r="C170" s="28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W170" s="1"/>
      <c r="X170" s="18"/>
      <c r="Y170" s="18"/>
    </row>
    <row r="171" spans="1:25" ht="15.75" customHeight="1">
      <c r="A171" s="28"/>
      <c r="B171" s="1"/>
      <c r="C171" s="28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W171" s="1"/>
      <c r="X171" s="18"/>
      <c r="Y171" s="18"/>
    </row>
    <row r="172" spans="1:25" ht="15.75" customHeight="1">
      <c r="A172" s="28"/>
      <c r="B172" s="1"/>
      <c r="C172" s="28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W172" s="1"/>
      <c r="X172" s="18"/>
      <c r="Y172" s="18"/>
    </row>
    <row r="173" spans="1:25" ht="15.75" customHeight="1">
      <c r="A173" s="28"/>
      <c r="B173" s="1"/>
      <c r="C173" s="28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W173" s="1"/>
      <c r="X173" s="18"/>
      <c r="Y173" s="18"/>
    </row>
    <row r="174" spans="1:25" ht="15.75" customHeight="1">
      <c r="A174" s="28"/>
      <c r="B174" s="1"/>
      <c r="C174" s="28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W174" s="1"/>
      <c r="X174" s="18"/>
      <c r="Y174" s="18"/>
    </row>
    <row r="175" spans="1:25" ht="15.75" customHeight="1">
      <c r="A175" s="28"/>
      <c r="B175" s="1"/>
      <c r="C175" s="28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W175" s="1"/>
      <c r="X175" s="18"/>
      <c r="Y175" s="18"/>
    </row>
    <row r="176" spans="1:25" ht="15.75" customHeight="1">
      <c r="A176" s="28"/>
      <c r="B176" s="1"/>
      <c r="C176" s="28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W176" s="1"/>
      <c r="X176" s="18"/>
      <c r="Y176" s="18"/>
    </row>
    <row r="177" spans="1:25" ht="15.75" customHeight="1">
      <c r="A177" s="28"/>
      <c r="B177" s="1"/>
      <c r="C177" s="28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W177" s="1"/>
      <c r="X177" s="18"/>
      <c r="Y177" s="18"/>
    </row>
    <row r="178" spans="1:25" ht="15.75" customHeight="1">
      <c r="A178" s="28"/>
      <c r="B178" s="1"/>
      <c r="C178" s="28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W178" s="1"/>
      <c r="X178" s="18"/>
      <c r="Y178" s="18"/>
    </row>
    <row r="179" spans="1:25" ht="15.75" customHeight="1">
      <c r="A179" s="28"/>
      <c r="B179" s="1"/>
      <c r="C179" s="28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W179" s="1"/>
      <c r="X179" s="18"/>
      <c r="Y179" s="18"/>
    </row>
    <row r="180" spans="1:25" ht="15.75" customHeight="1">
      <c r="A180" s="28"/>
      <c r="B180" s="1"/>
      <c r="C180" s="28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W180" s="1"/>
      <c r="X180" s="18"/>
      <c r="Y180" s="18"/>
    </row>
    <row r="181" spans="1:25" ht="15.75" customHeight="1">
      <c r="A181" s="28"/>
      <c r="B181" s="1"/>
      <c r="C181" s="2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W181" s="1"/>
      <c r="X181" s="18"/>
      <c r="Y181" s="18"/>
    </row>
    <row r="182" spans="1:25" ht="15.75" customHeight="1">
      <c r="A182" s="28"/>
      <c r="B182" s="1"/>
      <c r="C182" s="2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W182" s="1"/>
      <c r="X182" s="18"/>
      <c r="Y182" s="18"/>
    </row>
    <row r="183" spans="1:25" ht="15.75" customHeight="1">
      <c r="A183" s="28"/>
      <c r="B183" s="1"/>
      <c r="C183" s="28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W183" s="1"/>
      <c r="X183" s="18"/>
      <c r="Y183" s="18"/>
    </row>
    <row r="184" spans="1:25" ht="15.75" customHeight="1">
      <c r="A184" s="28"/>
      <c r="B184" s="1"/>
      <c r="C184" s="2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W184" s="1"/>
      <c r="X184" s="18"/>
      <c r="Y184" s="18"/>
    </row>
    <row r="185" spans="1:25" ht="15.75" customHeight="1">
      <c r="A185" s="28"/>
      <c r="B185" s="1"/>
      <c r="C185" s="2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W185" s="1"/>
      <c r="X185" s="18"/>
      <c r="Y185" s="18"/>
    </row>
    <row r="186" spans="1:25" ht="15.75" customHeight="1">
      <c r="A186" s="28"/>
      <c r="B186" s="1"/>
      <c r="C186" s="28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W186" s="1"/>
      <c r="X186" s="18"/>
      <c r="Y186" s="18"/>
    </row>
    <row r="187" spans="1:25" ht="15.75" customHeight="1">
      <c r="A187" s="28"/>
      <c r="B187" s="1"/>
      <c r="C187" s="28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W187" s="1"/>
      <c r="X187" s="18"/>
      <c r="Y187" s="18"/>
    </row>
    <row r="188" spans="1:25" ht="15.75" customHeight="1">
      <c r="A188" s="28"/>
      <c r="B188" s="1"/>
      <c r="C188" s="28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W188" s="1"/>
      <c r="X188" s="18"/>
      <c r="Y188" s="18"/>
    </row>
    <row r="189" spans="1:25" ht="15.75" customHeight="1">
      <c r="A189" s="28"/>
      <c r="B189" s="1"/>
      <c r="C189" s="28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W189" s="1"/>
      <c r="X189" s="18"/>
      <c r="Y189" s="18"/>
    </row>
    <row r="190" spans="1:25" ht="15.75" customHeight="1">
      <c r="A190" s="28"/>
      <c r="B190" s="1"/>
      <c r="C190" s="28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W190" s="1"/>
      <c r="X190" s="18"/>
      <c r="Y190" s="18"/>
    </row>
    <row r="191" spans="1:25" ht="15.75" customHeight="1">
      <c r="A191" s="28"/>
      <c r="B191" s="1"/>
      <c r="C191" s="28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W191" s="1"/>
      <c r="X191" s="18"/>
      <c r="Y191" s="18"/>
    </row>
    <row r="192" spans="1:25" ht="15.75" customHeight="1">
      <c r="A192" s="28"/>
      <c r="B192" s="1"/>
      <c r="C192" s="28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W192" s="1"/>
      <c r="X192" s="18"/>
      <c r="Y192" s="18"/>
    </row>
    <row r="193" spans="1:25" ht="15.75" customHeight="1">
      <c r="A193" s="28"/>
      <c r="B193" s="1"/>
      <c r="C193" s="28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W193" s="1"/>
      <c r="X193" s="18"/>
      <c r="Y193" s="18"/>
    </row>
    <row r="194" spans="1:25" ht="15.75" customHeight="1">
      <c r="A194" s="28"/>
      <c r="B194" s="1"/>
      <c r="C194" s="28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W194" s="1"/>
      <c r="X194" s="18"/>
      <c r="Y194" s="18"/>
    </row>
    <row r="195" spans="1:25" ht="15.75" customHeight="1">
      <c r="A195" s="28"/>
      <c r="B195" s="1"/>
      <c r="C195" s="28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W195" s="1"/>
      <c r="X195" s="18"/>
      <c r="Y195" s="18"/>
    </row>
    <row r="196" spans="1:25" ht="15.75" customHeight="1">
      <c r="A196" s="28"/>
      <c r="B196" s="1"/>
      <c r="C196" s="28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W196" s="1"/>
      <c r="X196" s="18"/>
      <c r="Y196" s="18"/>
    </row>
    <row r="197" spans="1:25" ht="15.75" customHeight="1">
      <c r="A197" s="28"/>
      <c r="B197" s="1"/>
      <c r="C197" s="28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W197" s="1"/>
      <c r="X197" s="18"/>
      <c r="Y197" s="18"/>
    </row>
    <row r="198" spans="1:25" ht="15.75" customHeight="1">
      <c r="A198" s="28"/>
      <c r="B198" s="1"/>
      <c r="C198" s="28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W198" s="1"/>
      <c r="X198" s="18"/>
      <c r="Y198" s="18"/>
    </row>
    <row r="199" spans="1:25" ht="15.75" customHeight="1">
      <c r="A199" s="28"/>
      <c r="B199" s="1"/>
      <c r="C199" s="28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W199" s="1"/>
      <c r="X199" s="18"/>
      <c r="Y199" s="18"/>
    </row>
    <row r="200" spans="1:25" ht="15.75" customHeight="1">
      <c r="A200" s="28"/>
      <c r="B200" s="1"/>
      <c r="C200" s="28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W200" s="1"/>
      <c r="X200" s="18"/>
      <c r="Y200" s="18"/>
    </row>
    <row r="201" spans="1:25" ht="15.75" customHeight="1">
      <c r="A201" s="28"/>
      <c r="B201" s="1"/>
      <c r="C201" s="28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W201" s="1"/>
      <c r="X201" s="18"/>
      <c r="Y201" s="18"/>
    </row>
    <row r="202" spans="1:25" ht="15.75" customHeight="1">
      <c r="A202" s="28"/>
      <c r="B202" s="1"/>
      <c r="C202" s="2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W202" s="1"/>
      <c r="X202" s="18"/>
      <c r="Y202" s="18"/>
    </row>
    <row r="203" spans="1:25" ht="15.75" customHeight="1">
      <c r="A203" s="28"/>
      <c r="B203" s="1"/>
      <c r="C203" s="28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W203" s="1"/>
      <c r="X203" s="18"/>
      <c r="Y203" s="18"/>
    </row>
    <row r="204" spans="1:25" ht="15.75" customHeight="1">
      <c r="A204" s="28"/>
      <c r="B204" s="1"/>
      <c r="C204" s="28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W204" s="1"/>
      <c r="X204" s="18"/>
      <c r="Y204" s="18"/>
    </row>
    <row r="205" spans="1:25" ht="15.75" customHeight="1">
      <c r="A205" s="28"/>
      <c r="B205" s="1"/>
      <c r="C205" s="28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W205" s="1"/>
      <c r="X205" s="18"/>
      <c r="Y205" s="18"/>
    </row>
    <row r="206" spans="1:25" ht="15.75" customHeight="1">
      <c r="A206" s="28"/>
      <c r="B206" s="1"/>
      <c r="C206" s="28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W206" s="1"/>
      <c r="X206" s="18"/>
      <c r="Y206" s="18"/>
    </row>
    <row r="207" spans="1:25" ht="15.75" customHeight="1">
      <c r="A207" s="28"/>
      <c r="B207" s="1"/>
      <c r="C207" s="28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W207" s="1"/>
      <c r="X207" s="18"/>
      <c r="Y207" s="18"/>
    </row>
    <row r="208" spans="1:25" ht="15.75" customHeight="1">
      <c r="A208" s="28"/>
      <c r="B208" s="1"/>
      <c r="C208" s="28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W208" s="1"/>
      <c r="X208" s="18"/>
      <c r="Y208" s="18"/>
    </row>
    <row r="209" spans="1:25" ht="15.75" customHeight="1">
      <c r="A209" s="28"/>
      <c r="B209" s="1"/>
      <c r="C209" s="28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W209" s="1"/>
      <c r="X209" s="18"/>
      <c r="Y209" s="18"/>
    </row>
    <row r="210" spans="1:25" ht="15.75" customHeight="1">
      <c r="A210" s="28"/>
      <c r="B210" s="1"/>
      <c r="C210" s="28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W210" s="1"/>
      <c r="X210" s="18"/>
      <c r="Y210" s="18"/>
    </row>
    <row r="211" spans="1:25" ht="15.75" customHeight="1">
      <c r="A211" s="28"/>
      <c r="B211" s="1"/>
      <c r="C211" s="28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W211" s="1"/>
      <c r="X211" s="18"/>
      <c r="Y211" s="18"/>
    </row>
    <row r="212" spans="1:25" ht="15.75" customHeight="1">
      <c r="A212" s="28"/>
      <c r="B212" s="1"/>
      <c r="C212" s="28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W212" s="1"/>
      <c r="X212" s="18"/>
      <c r="Y212" s="18"/>
    </row>
    <row r="213" spans="1:25" ht="15.75" customHeight="1">
      <c r="A213" s="28"/>
      <c r="B213" s="1"/>
      <c r="C213" s="28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W213" s="1"/>
      <c r="X213" s="18"/>
      <c r="Y213" s="18"/>
    </row>
    <row r="214" spans="1:25" ht="15.75" customHeight="1">
      <c r="A214" s="28"/>
      <c r="B214" s="1"/>
      <c r="C214" s="28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W214" s="1"/>
      <c r="X214" s="18"/>
      <c r="Y214" s="18"/>
    </row>
    <row r="215" spans="1:25" ht="15.75" customHeight="1">
      <c r="A215" s="28"/>
      <c r="B215" s="1"/>
      <c r="C215" s="28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W215" s="1"/>
      <c r="X215" s="18"/>
      <c r="Y215" s="18"/>
    </row>
    <row r="216" spans="1:25" ht="15.75" customHeight="1">
      <c r="A216" s="28"/>
      <c r="B216" s="1"/>
      <c r="C216" s="28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W216" s="1"/>
      <c r="X216" s="18"/>
      <c r="Y216" s="18"/>
    </row>
    <row r="217" spans="1:25" ht="15.75" customHeight="1">
      <c r="A217" s="28"/>
      <c r="B217" s="1"/>
      <c r="C217" s="28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W217" s="1"/>
      <c r="X217" s="18"/>
      <c r="Y217" s="18"/>
    </row>
    <row r="218" spans="1:25" ht="15.75" customHeight="1">
      <c r="A218" s="28"/>
      <c r="B218" s="1"/>
      <c r="C218" s="28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W218" s="1"/>
      <c r="X218" s="18"/>
      <c r="Y218" s="18"/>
    </row>
    <row r="219" spans="1:25" ht="15.75" customHeight="1">
      <c r="A219" s="28"/>
      <c r="B219" s="1"/>
      <c r="C219" s="28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W219" s="1"/>
      <c r="X219" s="18"/>
      <c r="Y219" s="18"/>
    </row>
    <row r="220" spans="1:25" ht="15.75" customHeight="1">
      <c r="A220" s="28"/>
      <c r="B220" s="1"/>
      <c r="C220" s="28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W220" s="1"/>
      <c r="X220" s="18"/>
      <c r="Y220" s="18"/>
    </row>
    <row r="221" spans="1:25" ht="15.75" customHeight="1">
      <c r="A221" s="28"/>
      <c r="B221" s="1"/>
      <c r="C221" s="28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W221" s="1"/>
      <c r="X221" s="18"/>
      <c r="Y221" s="18"/>
    </row>
    <row r="222" spans="1:25" ht="15.75" customHeight="1">
      <c r="A222" s="28"/>
      <c r="B222" s="1"/>
      <c r="C222" s="28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W222" s="1"/>
      <c r="X222" s="18"/>
      <c r="Y222" s="18"/>
    </row>
    <row r="223" spans="1:25" ht="15.75" customHeight="1">
      <c r="A223" s="28"/>
      <c r="B223" s="1"/>
      <c r="C223" s="28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W223" s="1"/>
      <c r="X223" s="18"/>
      <c r="Y223" s="18"/>
    </row>
    <row r="224" spans="1:25" ht="15.75" customHeight="1">
      <c r="A224" s="28"/>
      <c r="B224" s="1"/>
      <c r="C224" s="28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W224" s="1"/>
      <c r="X224" s="18"/>
      <c r="Y224" s="18"/>
    </row>
    <row r="225" spans="1:25" ht="15.75" customHeight="1">
      <c r="A225" s="28"/>
      <c r="B225" s="1"/>
      <c r="C225" s="28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W225" s="1"/>
      <c r="X225" s="18"/>
      <c r="Y225" s="18"/>
    </row>
    <row r="226" spans="1:25" ht="15.75" customHeight="1">
      <c r="A226" s="28"/>
      <c r="B226" s="1"/>
      <c r="C226" s="28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W226" s="1"/>
      <c r="X226" s="18"/>
      <c r="Y226" s="18"/>
    </row>
    <row r="227" spans="1:25" ht="15.75" customHeight="1">
      <c r="A227" s="28"/>
      <c r="B227" s="1"/>
      <c r="C227" s="28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W227" s="1"/>
      <c r="X227" s="18"/>
      <c r="Y227" s="18"/>
    </row>
    <row r="228" spans="1:25" ht="15.75" customHeight="1">
      <c r="A228" s="28"/>
      <c r="B228" s="1"/>
      <c r="C228" s="28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W228" s="1"/>
      <c r="X228" s="18"/>
      <c r="Y228" s="18"/>
    </row>
    <row r="229" spans="1:25" ht="15.75" customHeight="1">
      <c r="A229" s="28"/>
      <c r="B229" s="1"/>
      <c r="C229" s="28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W229" s="1"/>
      <c r="X229" s="18"/>
      <c r="Y229" s="18"/>
    </row>
    <row r="230" spans="1:25" ht="15.75" customHeight="1">
      <c r="A230" s="28"/>
      <c r="B230" s="1"/>
      <c r="C230" s="28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W230" s="1"/>
      <c r="X230" s="18"/>
      <c r="Y230" s="18"/>
    </row>
    <row r="231" spans="1:25" ht="15.75" customHeight="1">
      <c r="A231" s="28"/>
      <c r="B231" s="1"/>
      <c r="C231" s="28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W231" s="1"/>
      <c r="X231" s="18"/>
      <c r="Y231" s="18"/>
    </row>
    <row r="232" spans="1:25" ht="15.75" customHeight="1">
      <c r="A232" s="28"/>
      <c r="B232" s="1"/>
      <c r="C232" s="28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W232" s="1"/>
      <c r="X232" s="18"/>
      <c r="Y232" s="18"/>
    </row>
    <row r="233" spans="1:25" ht="15.75" customHeight="1">
      <c r="A233" s="28"/>
      <c r="B233" s="1"/>
      <c r="C233" s="28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W233" s="1"/>
      <c r="X233" s="18"/>
      <c r="Y233" s="18"/>
    </row>
    <row r="234" spans="1:25" ht="15.75" customHeight="1">
      <c r="A234" s="28"/>
      <c r="B234" s="1"/>
      <c r="C234" s="28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W234" s="1"/>
      <c r="X234" s="18"/>
      <c r="Y234" s="18"/>
    </row>
    <row r="235" spans="1:25" ht="15.75" customHeight="1">
      <c r="A235" s="28"/>
      <c r="B235" s="1"/>
      <c r="C235" s="28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W235" s="1"/>
      <c r="X235" s="18"/>
      <c r="Y235" s="18"/>
    </row>
    <row r="236" spans="1:25" ht="15.75" customHeight="1">
      <c r="A236" s="28"/>
      <c r="B236" s="1"/>
      <c r="C236" s="28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W236" s="1"/>
      <c r="X236" s="18"/>
      <c r="Y236" s="18"/>
    </row>
    <row r="237" spans="1:25" ht="15.75" customHeight="1">
      <c r="A237" s="28"/>
      <c r="B237" s="1"/>
      <c r="C237" s="28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W237" s="1"/>
      <c r="X237" s="18"/>
      <c r="Y237" s="18"/>
    </row>
    <row r="238" spans="1:25" ht="15.75" customHeight="1">
      <c r="A238" s="28"/>
      <c r="B238" s="1"/>
      <c r="C238" s="28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W238" s="1"/>
      <c r="X238" s="18"/>
      <c r="Y238" s="18"/>
    </row>
    <row r="239" spans="1:25" ht="15.75" customHeight="1">
      <c r="A239" s="28"/>
      <c r="B239" s="1"/>
      <c r="C239" s="28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W239" s="1"/>
      <c r="X239" s="18"/>
      <c r="Y239" s="18"/>
    </row>
    <row r="240" spans="1:25" ht="15.75" customHeight="1">
      <c r="A240" s="28"/>
      <c r="B240" s="1"/>
      <c r="C240" s="28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W240" s="1"/>
      <c r="X240" s="18"/>
      <c r="Y240" s="18"/>
    </row>
    <row r="241" spans="1:25" ht="15.75" customHeight="1">
      <c r="A241" s="28"/>
      <c r="B241" s="1"/>
      <c r="C241" s="28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W241" s="1"/>
      <c r="X241" s="18"/>
      <c r="Y241" s="18"/>
    </row>
    <row r="242" spans="1:25" ht="15.75" customHeight="1">
      <c r="A242" s="28"/>
      <c r="B242" s="1"/>
      <c r="C242" s="28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W242" s="1"/>
      <c r="X242" s="18"/>
      <c r="Y242" s="18"/>
    </row>
    <row r="243" spans="1:25" ht="15.75" customHeight="1">
      <c r="A243" s="28"/>
      <c r="B243" s="1"/>
      <c r="C243" s="28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W243" s="1"/>
      <c r="X243" s="18"/>
      <c r="Y243" s="18"/>
    </row>
    <row r="244" spans="1:25" ht="15.75" customHeight="1">
      <c r="A244" s="28"/>
      <c r="B244" s="1"/>
      <c r="C244" s="28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W244" s="1"/>
      <c r="X244" s="18"/>
      <c r="Y244" s="18"/>
    </row>
    <row r="245" spans="1:25" ht="15.75" customHeight="1">
      <c r="A245" s="28"/>
      <c r="B245" s="1"/>
      <c r="C245" s="28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W245" s="1"/>
      <c r="X245" s="18"/>
      <c r="Y245" s="18"/>
    </row>
    <row r="246" spans="1:25" ht="15.75" customHeight="1">
      <c r="A246" s="28"/>
      <c r="B246" s="1"/>
      <c r="C246" s="28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W246" s="1"/>
      <c r="X246" s="18"/>
      <c r="Y246" s="18"/>
    </row>
    <row r="247" spans="1:25" ht="15.75" customHeight="1">
      <c r="A247" s="28"/>
      <c r="B247" s="1"/>
      <c r="C247" s="28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W247" s="1"/>
      <c r="X247" s="18"/>
      <c r="Y247" s="18"/>
    </row>
    <row r="248" spans="1:25" ht="15.75" customHeight="1">
      <c r="A248" s="28"/>
      <c r="B248" s="1"/>
      <c r="C248" s="28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W248" s="1"/>
      <c r="X248" s="18"/>
      <c r="Y248" s="18"/>
    </row>
    <row r="249" spans="1:25" ht="15.75" customHeight="1">
      <c r="A249" s="28"/>
      <c r="B249" s="1"/>
      <c r="C249" s="28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W249" s="1"/>
      <c r="X249" s="18"/>
      <c r="Y249" s="18"/>
    </row>
    <row r="250" spans="1:25" ht="15.75" customHeight="1">
      <c r="A250" s="28"/>
      <c r="B250" s="1"/>
      <c r="C250" s="28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W250" s="1"/>
      <c r="X250" s="18"/>
      <c r="Y250" s="18"/>
    </row>
    <row r="251" spans="1:25" ht="15.75" customHeight="1">
      <c r="A251" s="28"/>
      <c r="B251" s="1"/>
      <c r="C251" s="28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W251" s="1"/>
      <c r="X251" s="18"/>
      <c r="Y251" s="18"/>
    </row>
    <row r="252" spans="1:25" ht="15.75" customHeight="1">
      <c r="A252" s="28"/>
      <c r="B252" s="1"/>
      <c r="C252" s="28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W252" s="1"/>
      <c r="X252" s="18"/>
      <c r="Y252" s="18"/>
    </row>
    <row r="253" spans="1:25" ht="15.75" customHeight="1">
      <c r="A253" s="28"/>
      <c r="B253" s="1"/>
      <c r="C253" s="28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W253" s="1"/>
      <c r="X253" s="18"/>
      <c r="Y253" s="18"/>
    </row>
    <row r="254" spans="1:25" ht="15.75" customHeight="1">
      <c r="A254" s="28"/>
      <c r="B254" s="1"/>
      <c r="C254" s="28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W254" s="1"/>
      <c r="X254" s="18"/>
      <c r="Y254" s="18"/>
    </row>
    <row r="255" spans="1:25" ht="15.75" customHeight="1">
      <c r="A255" s="28"/>
      <c r="B255" s="1"/>
      <c r="C255" s="28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W255" s="1"/>
      <c r="X255" s="18"/>
      <c r="Y255" s="18"/>
    </row>
    <row r="256" spans="1:25" ht="15.75" customHeight="1">
      <c r="A256" s="28"/>
      <c r="B256" s="1"/>
      <c r="C256" s="28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W256" s="1"/>
      <c r="X256" s="18"/>
      <c r="Y256" s="18"/>
    </row>
    <row r="257" spans="1:25" ht="15.75" customHeight="1">
      <c r="A257" s="28"/>
      <c r="B257" s="1"/>
      <c r="C257" s="28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W257" s="1"/>
      <c r="X257" s="18"/>
      <c r="Y257" s="18"/>
    </row>
    <row r="258" spans="1:25" ht="15.75" customHeight="1">
      <c r="A258" s="28"/>
      <c r="B258" s="1"/>
      <c r="C258" s="28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W258" s="1"/>
      <c r="X258" s="18"/>
      <c r="Y258" s="18"/>
    </row>
    <row r="259" spans="1:25" ht="15.75" customHeight="1">
      <c r="A259" s="28"/>
      <c r="B259" s="1"/>
      <c r="C259" s="28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W259" s="1"/>
      <c r="X259" s="18"/>
      <c r="Y259" s="18"/>
    </row>
    <row r="260" spans="1:25" ht="15.75" customHeight="1">
      <c r="A260" s="28"/>
      <c r="B260" s="1"/>
      <c r="C260" s="28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W260" s="1"/>
      <c r="X260" s="18"/>
      <c r="Y260" s="18"/>
    </row>
    <row r="261" spans="1:25" ht="15.75" customHeight="1">
      <c r="A261" s="28"/>
      <c r="B261" s="1"/>
      <c r="C261" s="28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W261" s="1"/>
      <c r="X261" s="18"/>
      <c r="Y261" s="18"/>
    </row>
    <row r="262" spans="1:25" ht="15.75" customHeight="1">
      <c r="A262" s="28"/>
      <c r="B262" s="1"/>
      <c r="C262" s="28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W262" s="1"/>
      <c r="X262" s="18"/>
      <c r="Y262" s="18"/>
    </row>
    <row r="263" spans="1:25" ht="15.75" customHeight="1">
      <c r="A263" s="28"/>
      <c r="B263" s="1"/>
      <c r="C263" s="28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W263" s="1"/>
      <c r="X263" s="18"/>
      <c r="Y263" s="18"/>
    </row>
    <row r="264" spans="1:25" ht="15.75" customHeight="1">
      <c r="A264" s="28"/>
      <c r="B264" s="1"/>
      <c r="C264" s="28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W264" s="1"/>
      <c r="X264" s="18"/>
      <c r="Y264" s="18"/>
    </row>
    <row r="265" spans="1:25" ht="15.75" customHeight="1">
      <c r="A265" s="28"/>
      <c r="B265" s="1"/>
      <c r="C265" s="28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W265" s="1"/>
      <c r="X265" s="18"/>
      <c r="Y265" s="18"/>
    </row>
    <row r="266" spans="1:25" ht="15.75" customHeight="1">
      <c r="A266" s="28"/>
      <c r="B266" s="1"/>
      <c r="C266" s="28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W266" s="1"/>
      <c r="X266" s="18"/>
      <c r="Y266" s="18"/>
    </row>
    <row r="267" spans="1:25" ht="15.75" customHeight="1">
      <c r="A267" s="28"/>
      <c r="B267" s="1"/>
      <c r="C267" s="28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W267" s="1"/>
      <c r="X267" s="18"/>
      <c r="Y267" s="18"/>
    </row>
    <row r="268" spans="1:25" ht="15.75" customHeight="1">
      <c r="A268" s="28"/>
      <c r="B268" s="1"/>
      <c r="C268" s="28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W268" s="1"/>
      <c r="X268" s="18"/>
      <c r="Y268" s="18"/>
    </row>
    <row r="269" spans="1:25" ht="15.75" customHeight="1">
      <c r="A269" s="28"/>
      <c r="B269" s="1"/>
      <c r="C269" s="28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W269" s="1"/>
      <c r="X269" s="18"/>
      <c r="Y269" s="18"/>
    </row>
    <row r="270" spans="1:25" ht="15.75" customHeight="1">
      <c r="A270" s="28"/>
      <c r="B270" s="1"/>
      <c r="C270" s="28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W270" s="1"/>
      <c r="X270" s="18"/>
      <c r="Y270" s="18"/>
    </row>
    <row r="271" spans="1:25" ht="15.75" customHeight="1">
      <c r="A271" s="28"/>
      <c r="B271" s="1"/>
      <c r="C271" s="28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W271" s="1"/>
      <c r="X271" s="18"/>
      <c r="Y271" s="18"/>
    </row>
    <row r="272" spans="1:25" ht="15.75" customHeight="1">
      <c r="A272" s="28"/>
      <c r="B272" s="1"/>
      <c r="C272" s="28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W272" s="1"/>
      <c r="X272" s="18"/>
      <c r="Y272" s="18"/>
    </row>
    <row r="273" spans="1:25" ht="15.75" customHeight="1">
      <c r="A273" s="28"/>
      <c r="B273" s="1"/>
      <c r="C273" s="28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W273" s="1"/>
      <c r="X273" s="18"/>
      <c r="Y273" s="18"/>
    </row>
    <row r="274" spans="1:25" ht="15.75" customHeight="1">
      <c r="A274" s="28"/>
      <c r="B274" s="1"/>
      <c r="C274" s="28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W274" s="1"/>
      <c r="X274" s="18"/>
      <c r="Y274" s="18"/>
    </row>
    <row r="275" spans="1:25" ht="15.75" customHeight="1">
      <c r="A275" s="28"/>
      <c r="B275" s="1"/>
      <c r="C275" s="28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W275" s="1"/>
      <c r="X275" s="18"/>
      <c r="Y275" s="18"/>
    </row>
    <row r="276" spans="1:25" ht="15.75" customHeight="1">
      <c r="A276" s="28"/>
      <c r="B276" s="1"/>
      <c r="C276" s="2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W276" s="1"/>
      <c r="X276" s="18"/>
      <c r="Y276" s="18"/>
    </row>
    <row r="277" spans="1:25" ht="15.75" customHeight="1">
      <c r="A277" s="28"/>
      <c r="B277" s="1"/>
      <c r="C277" s="2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W277" s="1"/>
      <c r="X277" s="18"/>
      <c r="Y277" s="18"/>
    </row>
    <row r="278" spans="1:25" ht="15.75" customHeight="1">
      <c r="A278" s="28"/>
      <c r="B278" s="1"/>
      <c r="C278" s="28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W278" s="1"/>
      <c r="X278" s="18"/>
      <c r="Y278" s="18"/>
    </row>
    <row r="279" spans="1:25" ht="15.75" customHeight="1">
      <c r="A279" s="28"/>
      <c r="B279" s="1"/>
      <c r="C279" s="28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W279" s="1"/>
      <c r="X279" s="18"/>
      <c r="Y279" s="18"/>
    </row>
    <row r="280" spans="1:25" ht="15.75" customHeight="1">
      <c r="A280" s="28"/>
      <c r="B280" s="1"/>
      <c r="C280" s="28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W280" s="1"/>
      <c r="X280" s="18"/>
      <c r="Y280" s="18"/>
    </row>
    <row r="281" spans="1:25" ht="15.75" customHeight="1">
      <c r="A281" s="28"/>
      <c r="B281" s="1"/>
      <c r="C281" s="28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W281" s="1"/>
      <c r="X281" s="18"/>
      <c r="Y281" s="18"/>
    </row>
    <row r="282" spans="1:25" ht="15.75" customHeight="1">
      <c r="A282" s="28"/>
      <c r="B282" s="1"/>
      <c r="C282" s="28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W282" s="1"/>
      <c r="X282" s="18"/>
      <c r="Y282" s="18"/>
    </row>
    <row r="283" spans="1:25" ht="15.75" customHeight="1">
      <c r="A283" s="28"/>
      <c r="B283" s="1"/>
      <c r="C283" s="28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W283" s="1"/>
      <c r="X283" s="18"/>
      <c r="Y283" s="18"/>
    </row>
    <row r="284" spans="1:25" ht="15.75" customHeight="1">
      <c r="A284" s="28"/>
      <c r="B284" s="1"/>
      <c r="C284" s="28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W284" s="1"/>
      <c r="X284" s="18"/>
      <c r="Y284" s="18"/>
    </row>
    <row r="285" spans="1:25" ht="15.75" customHeight="1">
      <c r="A285" s="28"/>
      <c r="B285" s="1"/>
      <c r="C285" s="28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W285" s="1"/>
      <c r="X285" s="18"/>
      <c r="Y285" s="18"/>
    </row>
    <row r="286" spans="1:25" ht="15.75" customHeight="1">
      <c r="A286" s="28"/>
      <c r="B286" s="1"/>
      <c r="C286" s="28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W286" s="1"/>
      <c r="X286" s="18"/>
      <c r="Y286" s="18"/>
    </row>
    <row r="287" spans="1:25" ht="15.75" customHeight="1">
      <c r="A287" s="28"/>
      <c r="B287" s="1"/>
      <c r="C287" s="28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W287" s="1"/>
      <c r="X287" s="18"/>
      <c r="Y287" s="18"/>
    </row>
    <row r="288" spans="1:25" ht="15.75" customHeight="1">
      <c r="A288" s="28"/>
      <c r="B288" s="1"/>
      <c r="C288" s="28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W288" s="1"/>
      <c r="X288" s="18"/>
      <c r="Y288" s="18"/>
    </row>
    <row r="289" spans="1:25" ht="15.75" customHeight="1">
      <c r="A289" s="28"/>
      <c r="B289" s="1"/>
      <c r="C289" s="28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W289" s="1"/>
      <c r="X289" s="18"/>
      <c r="Y289" s="18"/>
    </row>
    <row r="290" spans="1:25" ht="15.75" customHeight="1">
      <c r="A290" s="28"/>
      <c r="B290" s="1"/>
      <c r="C290" s="28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W290" s="1"/>
      <c r="X290" s="18"/>
      <c r="Y290" s="18"/>
    </row>
    <row r="291" spans="1:25" ht="15.75" customHeight="1">
      <c r="A291" s="28"/>
      <c r="B291" s="1"/>
      <c r="C291" s="28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W291" s="1"/>
      <c r="X291" s="18"/>
      <c r="Y291" s="18"/>
    </row>
    <row r="292" spans="1:25" ht="15.75" customHeight="1">
      <c r="A292" s="28"/>
      <c r="B292" s="1"/>
      <c r="C292" s="28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W292" s="1"/>
      <c r="X292" s="18"/>
      <c r="Y292" s="18"/>
    </row>
    <row r="293" spans="1:25" ht="15.75" customHeight="1">
      <c r="A293" s="28"/>
      <c r="B293" s="1"/>
      <c r="C293" s="28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W293" s="1"/>
      <c r="X293" s="18"/>
      <c r="Y293" s="18"/>
    </row>
    <row r="294" spans="1:25" ht="15.75" customHeight="1">
      <c r="A294" s="28"/>
      <c r="B294" s="1"/>
      <c r="C294" s="28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W294" s="1"/>
      <c r="X294" s="18"/>
      <c r="Y294" s="18"/>
    </row>
    <row r="295" spans="1:25" ht="15.75" customHeight="1">
      <c r="A295" s="28"/>
      <c r="B295" s="1"/>
      <c r="C295" s="28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W295" s="1"/>
      <c r="X295" s="18"/>
      <c r="Y295" s="18"/>
    </row>
    <row r="296" spans="1:25" ht="15.75" customHeight="1">
      <c r="A296" s="28"/>
      <c r="B296" s="1"/>
      <c r="C296" s="28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W296" s="1"/>
      <c r="X296" s="18"/>
      <c r="Y296" s="18"/>
    </row>
    <row r="297" spans="1:25" ht="15.75" customHeight="1">
      <c r="A297" s="28"/>
      <c r="B297" s="1"/>
      <c r="C297" s="28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W297" s="1"/>
      <c r="X297" s="18"/>
      <c r="Y297" s="18"/>
    </row>
    <row r="298" spans="1:25" ht="15.75" customHeight="1">
      <c r="A298" s="28"/>
      <c r="B298" s="1"/>
      <c r="C298" s="28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W298" s="1"/>
      <c r="X298" s="18"/>
      <c r="Y298" s="18"/>
    </row>
    <row r="299" spans="1:25" ht="15.75" customHeight="1">
      <c r="F299" s="18"/>
      <c r="G299" s="18"/>
      <c r="I299" s="18"/>
      <c r="J299" s="18"/>
      <c r="K299" s="18"/>
      <c r="L299" s="18"/>
      <c r="M299" s="18"/>
      <c r="N299" s="18"/>
      <c r="O299" s="18"/>
      <c r="P299" s="18"/>
      <c r="Q299" s="18"/>
      <c r="W299" s="18"/>
      <c r="X299" s="18"/>
      <c r="Y299" s="18"/>
    </row>
    <row r="300" spans="1:25" ht="15.75" customHeight="1">
      <c r="F300" s="18"/>
      <c r="G300" s="18"/>
      <c r="I300" s="18"/>
      <c r="J300" s="18"/>
      <c r="K300" s="18"/>
      <c r="L300" s="18"/>
      <c r="M300" s="18"/>
      <c r="N300" s="18"/>
      <c r="O300" s="18"/>
      <c r="P300" s="18"/>
      <c r="Q300" s="18"/>
      <c r="W300" s="18"/>
      <c r="X300" s="18"/>
      <c r="Y300" s="18"/>
    </row>
    <row r="301" spans="1:25" ht="15.75" customHeight="1">
      <c r="F301" s="18"/>
      <c r="G301" s="18"/>
      <c r="I301" s="18"/>
      <c r="J301" s="18"/>
      <c r="K301" s="18"/>
      <c r="L301" s="18"/>
      <c r="M301" s="18"/>
      <c r="N301" s="18"/>
      <c r="O301" s="18"/>
      <c r="P301" s="18"/>
      <c r="Q301" s="18"/>
      <c r="W301" s="18"/>
      <c r="X301" s="18"/>
      <c r="Y301" s="18"/>
    </row>
    <row r="302" spans="1:25" ht="15.75" customHeight="1">
      <c r="F302" s="18"/>
      <c r="G302" s="18"/>
      <c r="I302" s="18"/>
      <c r="J302" s="18"/>
      <c r="K302" s="18"/>
      <c r="L302" s="18"/>
      <c r="M302" s="18"/>
      <c r="N302" s="18"/>
      <c r="O302" s="18"/>
      <c r="P302" s="18"/>
      <c r="Q302" s="18"/>
      <c r="W302" s="18"/>
      <c r="X302" s="18"/>
      <c r="Y302" s="18"/>
    </row>
    <row r="303" spans="1:25" ht="15.75" customHeight="1">
      <c r="F303" s="18"/>
      <c r="G303" s="18"/>
      <c r="I303" s="18"/>
      <c r="J303" s="18"/>
      <c r="K303" s="18"/>
      <c r="L303" s="18"/>
      <c r="M303" s="18"/>
      <c r="N303" s="18"/>
      <c r="O303" s="18"/>
      <c r="P303" s="18"/>
      <c r="Q303" s="18"/>
      <c r="W303" s="18"/>
      <c r="X303" s="18"/>
      <c r="Y303" s="18"/>
    </row>
    <row r="304" spans="1:25" ht="15.75" customHeight="1">
      <c r="F304" s="18"/>
      <c r="G304" s="18"/>
      <c r="I304" s="18"/>
      <c r="J304" s="18"/>
      <c r="K304" s="18"/>
      <c r="L304" s="18"/>
      <c r="M304" s="18"/>
      <c r="N304" s="18"/>
      <c r="O304" s="18"/>
      <c r="P304" s="18"/>
      <c r="Q304" s="18"/>
      <c r="W304" s="18"/>
      <c r="X304" s="18"/>
      <c r="Y304" s="18"/>
    </row>
    <row r="305" spans="6:25" ht="15.75" customHeight="1">
      <c r="F305" s="18"/>
      <c r="G305" s="18"/>
      <c r="I305" s="18"/>
      <c r="J305" s="18"/>
      <c r="K305" s="18"/>
      <c r="L305" s="18"/>
      <c r="M305" s="18"/>
      <c r="N305" s="18"/>
      <c r="O305" s="18"/>
      <c r="P305" s="18"/>
      <c r="Q305" s="18"/>
      <c r="W305" s="18"/>
      <c r="X305" s="18"/>
      <c r="Y305" s="18"/>
    </row>
    <row r="306" spans="6:25" ht="15.75" customHeight="1">
      <c r="F306" s="18"/>
      <c r="G306" s="18"/>
      <c r="I306" s="18"/>
      <c r="J306" s="18"/>
      <c r="K306" s="18"/>
      <c r="L306" s="18"/>
      <c r="M306" s="18"/>
      <c r="N306" s="18"/>
      <c r="O306" s="18"/>
      <c r="P306" s="18"/>
      <c r="Q306" s="18"/>
      <c r="W306" s="18"/>
      <c r="X306" s="18"/>
      <c r="Y306" s="18"/>
    </row>
    <row r="307" spans="6:25" ht="15.75" customHeight="1">
      <c r="F307" s="18"/>
      <c r="G307" s="18"/>
      <c r="I307" s="18"/>
      <c r="J307" s="18"/>
      <c r="K307" s="18"/>
      <c r="L307" s="18"/>
      <c r="M307" s="18"/>
      <c r="N307" s="18"/>
      <c r="O307" s="18"/>
      <c r="P307" s="18"/>
      <c r="Q307" s="18"/>
      <c r="W307" s="18"/>
      <c r="X307" s="18"/>
      <c r="Y307" s="18"/>
    </row>
    <row r="308" spans="6:25" ht="15.75" customHeight="1">
      <c r="F308" s="18"/>
      <c r="G308" s="18"/>
      <c r="I308" s="18"/>
      <c r="J308" s="18"/>
      <c r="K308" s="18"/>
      <c r="L308" s="18"/>
      <c r="M308" s="18"/>
      <c r="N308" s="18"/>
      <c r="O308" s="18"/>
      <c r="P308" s="18"/>
      <c r="Q308" s="18"/>
      <c r="W308" s="18"/>
      <c r="X308" s="18"/>
      <c r="Y308" s="18"/>
    </row>
    <row r="309" spans="6:25" ht="15.75" customHeight="1">
      <c r="F309" s="18"/>
      <c r="G309" s="18"/>
      <c r="I309" s="18"/>
      <c r="J309" s="18"/>
      <c r="K309" s="18"/>
      <c r="L309" s="18"/>
      <c r="M309" s="18"/>
      <c r="N309" s="18"/>
      <c r="O309" s="18"/>
      <c r="P309" s="18"/>
      <c r="Q309" s="18"/>
      <c r="W309" s="18"/>
      <c r="X309" s="18"/>
      <c r="Y309" s="18"/>
    </row>
    <row r="310" spans="6:25" ht="15.75" customHeight="1">
      <c r="F310" s="18"/>
      <c r="G310" s="18"/>
      <c r="I310" s="18"/>
      <c r="J310" s="18"/>
      <c r="K310" s="18"/>
      <c r="L310" s="18"/>
      <c r="M310" s="18"/>
      <c r="N310" s="18"/>
      <c r="O310" s="18"/>
      <c r="P310" s="18"/>
      <c r="Q310" s="18"/>
      <c r="W310" s="18"/>
      <c r="X310" s="18"/>
      <c r="Y310" s="18"/>
    </row>
    <row r="311" spans="6:25" ht="15.75" customHeight="1">
      <c r="F311" s="18"/>
      <c r="G311" s="18"/>
      <c r="I311" s="18"/>
      <c r="J311" s="18"/>
      <c r="K311" s="18"/>
      <c r="L311" s="18"/>
      <c r="M311" s="18"/>
      <c r="N311" s="18"/>
      <c r="O311" s="18"/>
      <c r="P311" s="18"/>
      <c r="Q311" s="18"/>
      <c r="W311" s="18"/>
      <c r="X311" s="18"/>
      <c r="Y311" s="18"/>
    </row>
    <row r="312" spans="6:25" ht="15.75" customHeight="1">
      <c r="F312" s="18"/>
      <c r="G312" s="18"/>
      <c r="I312" s="18"/>
      <c r="J312" s="18"/>
      <c r="K312" s="18"/>
      <c r="L312" s="18"/>
      <c r="M312" s="18"/>
      <c r="N312" s="18"/>
      <c r="O312" s="18"/>
      <c r="P312" s="18"/>
      <c r="Q312" s="18"/>
      <c r="W312" s="18"/>
      <c r="X312" s="18"/>
      <c r="Y312" s="18"/>
    </row>
    <row r="313" spans="6:25" ht="15.75" customHeight="1">
      <c r="F313" s="18"/>
      <c r="G313" s="18"/>
      <c r="I313" s="18"/>
      <c r="J313" s="18"/>
      <c r="K313" s="18"/>
      <c r="L313" s="18"/>
      <c r="M313" s="18"/>
      <c r="N313" s="18"/>
      <c r="O313" s="18"/>
      <c r="P313" s="18"/>
      <c r="Q313" s="18"/>
      <c r="W313" s="18"/>
      <c r="X313" s="18"/>
      <c r="Y313" s="18"/>
    </row>
    <row r="314" spans="6:25" ht="15.75" customHeight="1">
      <c r="F314" s="18"/>
      <c r="G314" s="18"/>
      <c r="I314" s="18"/>
      <c r="J314" s="18"/>
      <c r="K314" s="18"/>
      <c r="L314" s="18"/>
      <c r="M314" s="18"/>
      <c r="N314" s="18"/>
      <c r="O314" s="18"/>
      <c r="P314" s="18"/>
      <c r="Q314" s="18"/>
      <c r="W314" s="18"/>
      <c r="X314" s="18"/>
      <c r="Y314" s="18"/>
    </row>
    <row r="315" spans="6:25" ht="15.75" customHeight="1">
      <c r="F315" s="18"/>
      <c r="G315" s="18"/>
      <c r="I315" s="18"/>
      <c r="J315" s="18"/>
      <c r="K315" s="18"/>
      <c r="L315" s="18"/>
      <c r="M315" s="18"/>
      <c r="N315" s="18"/>
      <c r="O315" s="18"/>
      <c r="P315" s="18"/>
      <c r="Q315" s="18"/>
      <c r="W315" s="18"/>
      <c r="X315" s="18"/>
      <c r="Y315" s="18"/>
    </row>
    <row r="316" spans="6:25" ht="15.75" customHeight="1">
      <c r="F316" s="18"/>
      <c r="G316" s="18"/>
      <c r="I316" s="18"/>
      <c r="J316" s="18"/>
      <c r="K316" s="18"/>
      <c r="L316" s="18"/>
      <c r="M316" s="18"/>
      <c r="N316" s="18"/>
      <c r="O316" s="18"/>
      <c r="P316" s="18"/>
      <c r="Q316" s="18"/>
      <c r="W316" s="18"/>
      <c r="X316" s="18"/>
      <c r="Y316" s="18"/>
    </row>
    <row r="317" spans="6:25" ht="15.75" customHeight="1">
      <c r="F317" s="18"/>
      <c r="G317" s="18"/>
      <c r="I317" s="18"/>
      <c r="J317" s="18"/>
      <c r="K317" s="18"/>
      <c r="L317" s="18"/>
      <c r="M317" s="18"/>
      <c r="N317" s="18"/>
      <c r="O317" s="18"/>
      <c r="P317" s="18"/>
      <c r="Q317" s="18"/>
      <c r="W317" s="18"/>
      <c r="X317" s="18"/>
      <c r="Y317" s="18"/>
    </row>
    <row r="318" spans="6:25" ht="15.75" customHeight="1">
      <c r="F318" s="18"/>
      <c r="G318" s="18"/>
      <c r="I318" s="18"/>
      <c r="J318" s="18"/>
      <c r="K318" s="18"/>
      <c r="L318" s="18"/>
      <c r="M318" s="18"/>
      <c r="N318" s="18"/>
      <c r="O318" s="18"/>
      <c r="P318" s="18"/>
      <c r="Q318" s="18"/>
      <c r="W318" s="18"/>
      <c r="X318" s="18"/>
      <c r="Y318" s="18"/>
    </row>
    <row r="319" spans="6:25" ht="15.75" customHeight="1">
      <c r="F319" s="18"/>
      <c r="G319" s="18"/>
      <c r="I319" s="18"/>
      <c r="J319" s="18"/>
      <c r="K319" s="18"/>
      <c r="L319" s="18"/>
      <c r="M319" s="18"/>
      <c r="N319" s="18"/>
      <c r="O319" s="18"/>
      <c r="P319" s="18"/>
      <c r="Q319" s="18"/>
      <c r="W319" s="18"/>
      <c r="X319" s="18"/>
      <c r="Y319" s="18"/>
    </row>
    <row r="320" spans="6:25" ht="15.75" customHeight="1">
      <c r="F320" s="18"/>
      <c r="G320" s="18"/>
      <c r="I320" s="18"/>
      <c r="J320" s="18"/>
      <c r="K320" s="18"/>
      <c r="L320" s="18"/>
      <c r="M320" s="18"/>
      <c r="N320" s="18"/>
      <c r="O320" s="18"/>
      <c r="P320" s="18"/>
      <c r="Q320" s="18"/>
      <c r="W320" s="18"/>
      <c r="X320" s="18"/>
      <c r="Y320" s="18"/>
    </row>
    <row r="321" spans="6:25" ht="15.75" customHeight="1">
      <c r="F321" s="18"/>
      <c r="G321" s="18"/>
      <c r="I321" s="18"/>
      <c r="J321" s="18"/>
      <c r="K321" s="18"/>
      <c r="L321" s="18"/>
      <c r="M321" s="18"/>
      <c r="N321" s="18"/>
      <c r="O321" s="18"/>
      <c r="P321" s="18"/>
      <c r="Q321" s="18"/>
      <c r="W321" s="18"/>
      <c r="X321" s="18"/>
      <c r="Y321" s="18"/>
    </row>
    <row r="322" spans="6:25" ht="15.75" customHeight="1">
      <c r="F322" s="18"/>
      <c r="G322" s="18"/>
      <c r="I322" s="18"/>
      <c r="J322" s="18"/>
      <c r="K322" s="18"/>
      <c r="L322" s="18"/>
      <c r="M322" s="18"/>
      <c r="N322" s="18"/>
      <c r="O322" s="18"/>
      <c r="P322" s="18"/>
      <c r="Q322" s="18"/>
      <c r="W322" s="18"/>
      <c r="X322" s="18"/>
      <c r="Y322" s="18"/>
    </row>
    <row r="323" spans="6:25" ht="15.75" customHeight="1">
      <c r="F323" s="18"/>
      <c r="G323" s="18"/>
      <c r="I323" s="18"/>
      <c r="J323" s="18"/>
      <c r="K323" s="18"/>
      <c r="L323" s="18"/>
      <c r="M323" s="18"/>
      <c r="N323" s="18"/>
      <c r="O323" s="18"/>
      <c r="P323" s="18"/>
      <c r="Q323" s="18"/>
      <c r="W323" s="18"/>
      <c r="X323" s="18"/>
      <c r="Y323" s="18"/>
    </row>
    <row r="324" spans="6:25" ht="15.75" customHeight="1">
      <c r="F324" s="18"/>
      <c r="G324" s="18"/>
      <c r="I324" s="18"/>
      <c r="J324" s="18"/>
      <c r="K324" s="18"/>
      <c r="L324" s="18"/>
      <c r="M324" s="18"/>
      <c r="N324" s="18"/>
      <c r="O324" s="18"/>
      <c r="P324" s="18"/>
      <c r="Q324" s="18"/>
      <c r="W324" s="18"/>
      <c r="X324" s="18"/>
      <c r="Y324" s="18"/>
    </row>
    <row r="325" spans="6:25" ht="15.75" customHeight="1">
      <c r="F325" s="18"/>
      <c r="G325" s="18"/>
      <c r="I325" s="18"/>
      <c r="J325" s="18"/>
      <c r="K325" s="18"/>
      <c r="L325" s="18"/>
      <c r="M325" s="18"/>
      <c r="N325" s="18"/>
      <c r="O325" s="18"/>
      <c r="P325" s="18"/>
      <c r="Q325" s="18"/>
      <c r="W325" s="18"/>
      <c r="X325" s="18"/>
      <c r="Y325" s="18"/>
    </row>
    <row r="326" spans="6:25" ht="15.75" customHeight="1">
      <c r="F326" s="18"/>
      <c r="G326" s="18"/>
      <c r="I326" s="18"/>
      <c r="J326" s="18"/>
      <c r="K326" s="18"/>
      <c r="L326" s="18"/>
      <c r="M326" s="18"/>
      <c r="N326" s="18"/>
      <c r="O326" s="18"/>
      <c r="P326" s="18"/>
      <c r="Q326" s="18"/>
      <c r="W326" s="18"/>
      <c r="X326" s="18"/>
      <c r="Y326" s="18"/>
    </row>
    <row r="327" spans="6:25" ht="15.75" customHeight="1">
      <c r="F327" s="18"/>
      <c r="G327" s="18"/>
      <c r="I327" s="18"/>
      <c r="J327" s="18"/>
      <c r="K327" s="18"/>
      <c r="L327" s="18"/>
      <c r="M327" s="18"/>
      <c r="N327" s="18"/>
      <c r="O327" s="18"/>
      <c r="P327" s="18"/>
      <c r="Q327" s="18"/>
      <c r="W327" s="18"/>
      <c r="X327" s="18"/>
      <c r="Y327" s="18"/>
    </row>
    <row r="328" spans="6:25" ht="15.75" customHeight="1">
      <c r="F328" s="18"/>
      <c r="G328" s="18"/>
      <c r="I328" s="18"/>
      <c r="J328" s="18"/>
      <c r="K328" s="18"/>
      <c r="L328" s="18"/>
      <c r="M328" s="18"/>
      <c r="N328" s="18"/>
      <c r="O328" s="18"/>
      <c r="P328" s="18"/>
      <c r="Q328" s="18"/>
      <c r="W328" s="18"/>
      <c r="X328" s="18"/>
      <c r="Y328" s="18"/>
    </row>
    <row r="329" spans="6:25" ht="15.75" customHeight="1">
      <c r="F329" s="18"/>
      <c r="G329" s="18"/>
      <c r="I329" s="18"/>
      <c r="J329" s="18"/>
      <c r="K329" s="18"/>
      <c r="L329" s="18"/>
      <c r="M329" s="18"/>
      <c r="N329" s="18"/>
      <c r="O329" s="18"/>
      <c r="P329" s="18"/>
      <c r="Q329" s="18"/>
      <c r="W329" s="18"/>
      <c r="X329" s="18"/>
      <c r="Y329" s="18"/>
    </row>
    <row r="330" spans="6:25" ht="15.75" customHeight="1">
      <c r="F330" s="18"/>
      <c r="G330" s="18"/>
      <c r="I330" s="18"/>
      <c r="J330" s="18"/>
      <c r="K330" s="18"/>
      <c r="L330" s="18"/>
      <c r="M330" s="18"/>
      <c r="N330" s="18"/>
      <c r="O330" s="18"/>
      <c r="P330" s="18"/>
      <c r="Q330" s="18"/>
      <c r="W330" s="18"/>
      <c r="X330" s="18"/>
      <c r="Y330" s="18"/>
    </row>
    <row r="331" spans="6:25" ht="15.75" customHeight="1">
      <c r="F331" s="18"/>
      <c r="G331" s="18"/>
      <c r="I331" s="18"/>
      <c r="J331" s="18"/>
      <c r="K331" s="18"/>
      <c r="L331" s="18"/>
      <c r="M331" s="18"/>
      <c r="N331" s="18"/>
      <c r="O331" s="18"/>
      <c r="P331" s="18"/>
      <c r="Q331" s="18"/>
      <c r="W331" s="18"/>
      <c r="X331" s="18"/>
      <c r="Y331" s="18"/>
    </row>
    <row r="332" spans="6:25" ht="15.75" customHeight="1">
      <c r="F332" s="18"/>
      <c r="G332" s="18"/>
      <c r="I332" s="18"/>
      <c r="J332" s="18"/>
      <c r="K332" s="18"/>
      <c r="L332" s="18"/>
      <c r="M332" s="18"/>
      <c r="N332" s="18"/>
      <c r="O332" s="18"/>
      <c r="P332" s="18"/>
      <c r="Q332" s="18"/>
      <c r="W332" s="18"/>
      <c r="X332" s="18"/>
      <c r="Y332" s="18"/>
    </row>
    <row r="333" spans="6:25" ht="15.75" customHeight="1">
      <c r="F333" s="18"/>
      <c r="G333" s="18"/>
      <c r="I333" s="18"/>
      <c r="J333" s="18"/>
      <c r="K333" s="18"/>
      <c r="L333" s="18"/>
      <c r="M333" s="18"/>
      <c r="N333" s="18"/>
      <c r="O333" s="18"/>
      <c r="P333" s="18"/>
      <c r="Q333" s="18"/>
      <c r="W333" s="18"/>
      <c r="X333" s="18"/>
      <c r="Y333" s="18"/>
    </row>
    <row r="334" spans="6:25" ht="15.75" customHeight="1">
      <c r="F334" s="18"/>
      <c r="G334" s="18"/>
      <c r="I334" s="18"/>
      <c r="J334" s="18"/>
      <c r="K334" s="18"/>
      <c r="L334" s="18"/>
      <c r="M334" s="18"/>
      <c r="N334" s="18"/>
      <c r="O334" s="18"/>
      <c r="P334" s="18"/>
      <c r="Q334" s="18"/>
      <c r="W334" s="18"/>
      <c r="X334" s="18"/>
      <c r="Y334" s="18"/>
    </row>
    <row r="335" spans="6:25" ht="15.75" customHeight="1">
      <c r="F335" s="18"/>
      <c r="G335" s="18"/>
      <c r="I335" s="18"/>
      <c r="J335" s="18"/>
      <c r="K335" s="18"/>
      <c r="L335" s="18"/>
      <c r="M335" s="18"/>
      <c r="N335" s="18"/>
      <c r="O335" s="18"/>
      <c r="P335" s="18"/>
      <c r="Q335" s="18"/>
      <c r="W335" s="18"/>
      <c r="X335" s="18"/>
      <c r="Y335" s="18"/>
    </row>
    <row r="336" spans="6:25" ht="15.75" customHeight="1">
      <c r="F336" s="18"/>
      <c r="G336" s="18"/>
      <c r="I336" s="18"/>
      <c r="J336" s="18"/>
      <c r="K336" s="18"/>
      <c r="L336" s="18"/>
      <c r="M336" s="18"/>
      <c r="N336" s="18"/>
      <c r="O336" s="18"/>
      <c r="P336" s="18"/>
      <c r="Q336" s="18"/>
      <c r="W336" s="18"/>
      <c r="X336" s="18"/>
      <c r="Y336" s="18"/>
    </row>
    <row r="337" spans="6:25" ht="15.75" customHeight="1">
      <c r="F337" s="18"/>
      <c r="G337" s="18"/>
      <c r="I337" s="18"/>
      <c r="J337" s="18"/>
      <c r="K337" s="18"/>
      <c r="L337" s="18"/>
      <c r="M337" s="18"/>
      <c r="N337" s="18"/>
      <c r="O337" s="18"/>
      <c r="P337" s="18"/>
      <c r="Q337" s="18"/>
      <c r="W337" s="18"/>
      <c r="X337" s="18"/>
      <c r="Y337" s="18"/>
    </row>
    <row r="338" spans="6:25" ht="15.75" customHeight="1">
      <c r="F338" s="18"/>
      <c r="G338" s="18"/>
      <c r="I338" s="18"/>
      <c r="J338" s="18"/>
      <c r="K338" s="18"/>
      <c r="L338" s="18"/>
      <c r="M338" s="18"/>
      <c r="N338" s="18"/>
      <c r="O338" s="18"/>
      <c r="P338" s="18"/>
      <c r="Q338" s="18"/>
      <c r="W338" s="18"/>
      <c r="X338" s="18"/>
      <c r="Y338" s="18"/>
    </row>
    <row r="339" spans="6:25" ht="15.75" customHeight="1">
      <c r="F339" s="18"/>
      <c r="G339" s="18"/>
      <c r="I339" s="18"/>
      <c r="J339" s="18"/>
      <c r="K339" s="18"/>
      <c r="L339" s="18"/>
      <c r="M339" s="18"/>
      <c r="N339" s="18"/>
      <c r="O339" s="18"/>
      <c r="P339" s="18"/>
      <c r="Q339" s="18"/>
      <c r="W339" s="18"/>
      <c r="X339" s="18"/>
      <c r="Y339" s="18"/>
    </row>
    <row r="340" spans="6:25" ht="15.75" customHeight="1">
      <c r="F340" s="18"/>
      <c r="G340" s="18"/>
      <c r="I340" s="18"/>
      <c r="J340" s="18"/>
      <c r="K340" s="18"/>
      <c r="L340" s="18"/>
      <c r="M340" s="18"/>
      <c r="N340" s="18"/>
      <c r="O340" s="18"/>
      <c r="P340" s="18"/>
      <c r="Q340" s="18"/>
      <c r="W340" s="18"/>
      <c r="X340" s="18"/>
      <c r="Y340" s="18"/>
    </row>
    <row r="341" spans="6:25" ht="15.75" customHeight="1">
      <c r="F341" s="18"/>
      <c r="G341" s="18"/>
      <c r="I341" s="18"/>
      <c r="J341" s="18"/>
      <c r="K341" s="18"/>
      <c r="L341" s="18"/>
      <c r="M341" s="18"/>
      <c r="N341" s="18"/>
      <c r="O341" s="18"/>
      <c r="P341" s="18"/>
      <c r="Q341" s="18"/>
      <c r="W341" s="18"/>
      <c r="X341" s="18"/>
      <c r="Y341" s="18"/>
    </row>
    <row r="342" spans="6:25" ht="15.75" customHeight="1">
      <c r="F342" s="18"/>
      <c r="G342" s="18"/>
      <c r="I342" s="18"/>
      <c r="J342" s="18"/>
      <c r="K342" s="18"/>
      <c r="L342" s="18"/>
      <c r="M342" s="18"/>
      <c r="N342" s="18"/>
      <c r="O342" s="18"/>
      <c r="P342" s="18"/>
      <c r="Q342" s="18"/>
      <c r="W342" s="18"/>
      <c r="X342" s="18"/>
      <c r="Y342" s="18"/>
    </row>
    <row r="343" spans="6:25" ht="15.75" customHeight="1">
      <c r="F343" s="18"/>
      <c r="G343" s="18"/>
      <c r="I343" s="18"/>
      <c r="J343" s="18"/>
      <c r="K343" s="18"/>
      <c r="L343" s="18"/>
      <c r="M343" s="18"/>
      <c r="N343" s="18"/>
      <c r="O343" s="18"/>
      <c r="P343" s="18"/>
      <c r="Q343" s="18"/>
      <c r="W343" s="18"/>
      <c r="X343" s="18"/>
      <c r="Y343" s="18"/>
    </row>
    <row r="344" spans="6:25" ht="15.75" customHeight="1">
      <c r="F344" s="18"/>
      <c r="G344" s="18"/>
      <c r="I344" s="18"/>
      <c r="J344" s="18"/>
      <c r="K344" s="18"/>
      <c r="L344" s="18"/>
      <c r="M344" s="18"/>
      <c r="N344" s="18"/>
      <c r="O344" s="18"/>
      <c r="P344" s="18"/>
      <c r="Q344" s="18"/>
      <c r="W344" s="18"/>
      <c r="X344" s="18"/>
      <c r="Y344" s="18"/>
    </row>
    <row r="345" spans="6:25" ht="15.75" customHeight="1">
      <c r="F345" s="18"/>
      <c r="G345" s="18"/>
      <c r="I345" s="18"/>
      <c r="J345" s="18"/>
      <c r="K345" s="18"/>
      <c r="L345" s="18"/>
      <c r="M345" s="18"/>
      <c r="N345" s="18"/>
      <c r="O345" s="18"/>
      <c r="P345" s="18"/>
      <c r="Q345" s="18"/>
      <c r="W345" s="18"/>
      <c r="X345" s="18"/>
      <c r="Y345" s="18"/>
    </row>
    <row r="346" spans="6:25" ht="15.75" customHeight="1">
      <c r="F346" s="18"/>
      <c r="G346" s="18"/>
      <c r="I346" s="18"/>
      <c r="J346" s="18"/>
      <c r="K346" s="18"/>
      <c r="L346" s="18"/>
      <c r="M346" s="18"/>
      <c r="N346" s="18"/>
      <c r="O346" s="18"/>
      <c r="P346" s="18"/>
      <c r="Q346" s="18"/>
      <c r="W346" s="18"/>
      <c r="X346" s="18"/>
      <c r="Y346" s="18"/>
    </row>
    <row r="347" spans="6:25" ht="15.75" customHeight="1">
      <c r="F347" s="18"/>
      <c r="G347" s="18"/>
      <c r="I347" s="18"/>
      <c r="J347" s="18"/>
      <c r="K347" s="18"/>
      <c r="L347" s="18"/>
      <c r="M347" s="18"/>
      <c r="N347" s="18"/>
      <c r="O347" s="18"/>
      <c r="P347" s="18"/>
      <c r="Q347" s="18"/>
      <c r="W347" s="18"/>
      <c r="X347" s="18"/>
      <c r="Y347" s="18"/>
    </row>
    <row r="348" spans="6:25" ht="15.75" customHeight="1">
      <c r="F348" s="18"/>
      <c r="G348" s="18"/>
      <c r="I348" s="18"/>
      <c r="J348" s="18"/>
      <c r="K348" s="18"/>
      <c r="L348" s="18"/>
      <c r="M348" s="18"/>
      <c r="N348" s="18"/>
      <c r="O348" s="18"/>
      <c r="P348" s="18"/>
      <c r="Q348" s="18"/>
      <c r="W348" s="18"/>
      <c r="X348" s="18"/>
      <c r="Y348" s="18"/>
    </row>
    <row r="349" spans="6:25" ht="15.75" customHeight="1">
      <c r="F349" s="18"/>
      <c r="G349" s="18"/>
      <c r="I349" s="18"/>
      <c r="J349" s="18"/>
      <c r="K349" s="18"/>
      <c r="L349" s="18"/>
      <c r="M349" s="18"/>
      <c r="N349" s="18"/>
      <c r="O349" s="18"/>
      <c r="P349" s="18"/>
      <c r="Q349" s="18"/>
      <c r="W349" s="18"/>
      <c r="X349" s="18"/>
      <c r="Y349" s="18"/>
    </row>
    <row r="350" spans="6:25" ht="15.75" customHeight="1">
      <c r="F350" s="18"/>
      <c r="G350" s="18"/>
      <c r="I350" s="18"/>
      <c r="J350" s="18"/>
      <c r="K350" s="18"/>
      <c r="L350" s="18"/>
      <c r="M350" s="18"/>
      <c r="N350" s="18"/>
      <c r="O350" s="18"/>
      <c r="P350" s="18"/>
      <c r="Q350" s="18"/>
      <c r="W350" s="18"/>
      <c r="X350" s="18"/>
      <c r="Y350" s="18"/>
    </row>
    <row r="351" spans="6:25" ht="15.75" customHeight="1">
      <c r="F351" s="18"/>
      <c r="G351" s="18"/>
      <c r="I351" s="18"/>
      <c r="J351" s="18"/>
      <c r="K351" s="18"/>
      <c r="L351" s="18"/>
      <c r="M351" s="18"/>
      <c r="N351" s="18"/>
      <c r="O351" s="18"/>
      <c r="P351" s="18"/>
      <c r="Q351" s="18"/>
      <c r="W351" s="18"/>
      <c r="X351" s="18"/>
      <c r="Y351" s="18"/>
    </row>
    <row r="352" spans="6:25" ht="15.75" customHeight="1">
      <c r="F352" s="18"/>
      <c r="G352" s="18"/>
      <c r="I352" s="18"/>
      <c r="J352" s="18"/>
      <c r="K352" s="18"/>
      <c r="L352" s="18"/>
      <c r="M352" s="18"/>
      <c r="N352" s="18"/>
      <c r="O352" s="18"/>
      <c r="P352" s="18"/>
      <c r="Q352" s="18"/>
      <c r="W352" s="18"/>
      <c r="X352" s="18"/>
      <c r="Y352" s="18"/>
    </row>
    <row r="353" spans="6:25" ht="15.75" customHeight="1">
      <c r="F353" s="18"/>
      <c r="G353" s="18"/>
      <c r="I353" s="18"/>
      <c r="J353" s="18"/>
      <c r="K353" s="18"/>
      <c r="L353" s="18"/>
      <c r="M353" s="18"/>
      <c r="N353" s="18"/>
      <c r="O353" s="18"/>
      <c r="P353" s="18"/>
      <c r="Q353" s="18"/>
      <c r="W353" s="18"/>
      <c r="X353" s="18"/>
      <c r="Y353" s="18"/>
    </row>
    <row r="354" spans="6:25" ht="15.75" customHeight="1">
      <c r="F354" s="18"/>
      <c r="G354" s="18"/>
      <c r="I354" s="18"/>
      <c r="J354" s="18"/>
      <c r="K354" s="18"/>
      <c r="L354" s="18"/>
      <c r="M354" s="18"/>
      <c r="N354" s="18"/>
      <c r="O354" s="18"/>
      <c r="P354" s="18"/>
      <c r="Q354" s="18"/>
      <c r="W354" s="18"/>
      <c r="X354" s="18"/>
      <c r="Y354" s="18"/>
    </row>
    <row r="355" spans="6:25" ht="15.75" customHeight="1">
      <c r="F355" s="18"/>
      <c r="G355" s="18"/>
      <c r="I355" s="18"/>
      <c r="J355" s="18"/>
      <c r="K355" s="18"/>
      <c r="L355" s="18"/>
      <c r="M355" s="18"/>
      <c r="N355" s="18"/>
      <c r="O355" s="18"/>
      <c r="P355" s="18"/>
      <c r="Q355" s="18"/>
      <c r="W355" s="18"/>
      <c r="X355" s="18"/>
      <c r="Y355" s="18"/>
    </row>
    <row r="356" spans="6:25" ht="15.75" customHeight="1">
      <c r="F356" s="18"/>
      <c r="G356" s="18"/>
      <c r="I356" s="18"/>
      <c r="J356" s="18"/>
      <c r="K356" s="18"/>
      <c r="L356" s="18"/>
      <c r="M356" s="18"/>
      <c r="N356" s="18"/>
      <c r="O356" s="18"/>
      <c r="P356" s="18"/>
      <c r="Q356" s="18"/>
      <c r="W356" s="18"/>
      <c r="X356" s="18"/>
      <c r="Y356" s="18"/>
    </row>
    <row r="357" spans="6:25" ht="15.75" customHeight="1">
      <c r="F357" s="18"/>
      <c r="G357" s="18"/>
      <c r="I357" s="18"/>
      <c r="J357" s="18"/>
      <c r="K357" s="18"/>
      <c r="L357" s="18"/>
      <c r="M357" s="18"/>
      <c r="N357" s="18"/>
      <c r="O357" s="18"/>
      <c r="P357" s="18"/>
      <c r="Q357" s="18"/>
      <c r="W357" s="18"/>
      <c r="X357" s="18"/>
      <c r="Y357" s="18"/>
    </row>
    <row r="358" spans="6:25" ht="15.75" customHeight="1">
      <c r="F358" s="18"/>
      <c r="G358" s="18"/>
      <c r="I358" s="18"/>
      <c r="J358" s="18"/>
      <c r="K358" s="18"/>
      <c r="L358" s="18"/>
      <c r="M358" s="18"/>
      <c r="N358" s="18"/>
      <c r="O358" s="18"/>
      <c r="P358" s="18"/>
      <c r="Q358" s="18"/>
      <c r="W358" s="18"/>
      <c r="X358" s="18"/>
      <c r="Y358" s="18"/>
    </row>
    <row r="359" spans="6:25" ht="15.75" customHeight="1">
      <c r="F359" s="18"/>
      <c r="G359" s="18"/>
      <c r="I359" s="18"/>
      <c r="J359" s="18"/>
      <c r="K359" s="18"/>
      <c r="L359" s="18"/>
      <c r="M359" s="18"/>
      <c r="N359" s="18"/>
      <c r="O359" s="18"/>
      <c r="P359" s="18"/>
      <c r="Q359" s="18"/>
      <c r="W359" s="18"/>
      <c r="X359" s="18"/>
      <c r="Y359" s="18"/>
    </row>
    <row r="360" spans="6:25" ht="15.75" customHeight="1">
      <c r="F360" s="18"/>
      <c r="G360" s="18"/>
      <c r="I360" s="18"/>
      <c r="J360" s="18"/>
      <c r="K360" s="18"/>
      <c r="L360" s="18"/>
      <c r="M360" s="18"/>
      <c r="N360" s="18"/>
      <c r="O360" s="18"/>
      <c r="P360" s="18"/>
      <c r="Q360" s="18"/>
      <c r="W360" s="18"/>
      <c r="X360" s="18"/>
      <c r="Y360" s="18"/>
    </row>
    <row r="361" spans="6:25" ht="15.75" customHeight="1">
      <c r="F361" s="18"/>
      <c r="G361" s="18"/>
      <c r="I361" s="18"/>
      <c r="J361" s="18"/>
      <c r="K361" s="18"/>
      <c r="L361" s="18"/>
      <c r="M361" s="18"/>
      <c r="N361" s="18"/>
      <c r="O361" s="18"/>
      <c r="P361" s="18"/>
      <c r="Q361" s="18"/>
      <c r="W361" s="18"/>
      <c r="X361" s="18"/>
      <c r="Y361" s="18"/>
    </row>
    <row r="362" spans="6:25" ht="15.75" customHeight="1">
      <c r="F362" s="18"/>
      <c r="G362" s="18"/>
      <c r="I362" s="18"/>
      <c r="J362" s="18"/>
      <c r="K362" s="18"/>
      <c r="L362" s="18"/>
      <c r="M362" s="18"/>
      <c r="N362" s="18"/>
      <c r="O362" s="18"/>
      <c r="P362" s="18"/>
      <c r="Q362" s="18"/>
      <c r="W362" s="18"/>
      <c r="X362" s="18"/>
      <c r="Y362" s="18"/>
    </row>
    <row r="363" spans="6:25" ht="15.75" customHeight="1">
      <c r="F363" s="18"/>
      <c r="G363" s="18"/>
      <c r="I363" s="18"/>
      <c r="J363" s="18"/>
      <c r="K363" s="18"/>
      <c r="L363" s="18"/>
      <c r="M363" s="18"/>
      <c r="N363" s="18"/>
      <c r="O363" s="18"/>
      <c r="P363" s="18"/>
      <c r="Q363" s="18"/>
      <c r="W363" s="18"/>
      <c r="X363" s="18"/>
      <c r="Y363" s="18"/>
    </row>
    <row r="364" spans="6:25" ht="15.75" customHeight="1">
      <c r="F364" s="18"/>
      <c r="G364" s="18"/>
      <c r="I364" s="18"/>
      <c r="J364" s="18"/>
      <c r="K364" s="18"/>
      <c r="L364" s="18"/>
      <c r="M364" s="18"/>
      <c r="N364" s="18"/>
      <c r="O364" s="18"/>
      <c r="P364" s="18"/>
      <c r="Q364" s="18"/>
      <c r="W364" s="18"/>
      <c r="X364" s="18"/>
      <c r="Y364" s="18"/>
    </row>
    <row r="365" spans="6:25" ht="15.75" customHeight="1">
      <c r="F365" s="18"/>
      <c r="G365" s="18"/>
      <c r="I365" s="18"/>
      <c r="J365" s="18"/>
      <c r="K365" s="18"/>
      <c r="L365" s="18"/>
      <c r="M365" s="18"/>
      <c r="N365" s="18"/>
      <c r="O365" s="18"/>
      <c r="P365" s="18"/>
      <c r="Q365" s="18"/>
      <c r="W365" s="18"/>
      <c r="X365" s="18"/>
      <c r="Y365" s="18"/>
    </row>
    <row r="366" spans="6:25" ht="15.75" customHeight="1">
      <c r="F366" s="18"/>
      <c r="G366" s="18"/>
      <c r="I366" s="18"/>
      <c r="J366" s="18"/>
      <c r="K366" s="18"/>
      <c r="L366" s="18"/>
      <c r="M366" s="18"/>
      <c r="N366" s="18"/>
      <c r="O366" s="18"/>
      <c r="P366" s="18"/>
      <c r="Q366" s="18"/>
      <c r="W366" s="18"/>
      <c r="X366" s="18"/>
      <c r="Y366" s="18"/>
    </row>
    <row r="367" spans="6:25" ht="15.75" customHeight="1">
      <c r="F367" s="18"/>
      <c r="G367" s="18"/>
      <c r="I367" s="18"/>
      <c r="J367" s="18"/>
      <c r="K367" s="18"/>
      <c r="L367" s="18"/>
      <c r="M367" s="18"/>
      <c r="N367" s="18"/>
      <c r="O367" s="18"/>
      <c r="P367" s="18"/>
      <c r="Q367" s="18"/>
      <c r="W367" s="18"/>
      <c r="X367" s="18"/>
      <c r="Y367" s="18"/>
    </row>
    <row r="368" spans="6:25" ht="15.75" customHeight="1">
      <c r="F368" s="18"/>
      <c r="G368" s="18"/>
      <c r="I368" s="18"/>
      <c r="J368" s="18"/>
      <c r="K368" s="18"/>
      <c r="L368" s="18"/>
      <c r="M368" s="18"/>
      <c r="N368" s="18"/>
      <c r="O368" s="18"/>
      <c r="P368" s="18"/>
      <c r="Q368" s="18"/>
      <c r="W368" s="18"/>
      <c r="X368" s="18"/>
      <c r="Y368" s="18"/>
    </row>
    <row r="369" spans="6:25" ht="15.75" customHeight="1">
      <c r="F369" s="18"/>
      <c r="G369" s="18"/>
      <c r="I369" s="18"/>
      <c r="J369" s="18"/>
      <c r="K369" s="18"/>
      <c r="L369" s="18"/>
      <c r="M369" s="18"/>
      <c r="N369" s="18"/>
      <c r="O369" s="18"/>
      <c r="P369" s="18"/>
      <c r="Q369" s="18"/>
      <c r="W369" s="18"/>
      <c r="X369" s="18"/>
      <c r="Y369" s="18"/>
    </row>
    <row r="370" spans="6:25" ht="15.75" customHeight="1">
      <c r="F370" s="18"/>
      <c r="G370" s="18"/>
      <c r="I370" s="18"/>
      <c r="J370" s="18"/>
      <c r="K370" s="18"/>
      <c r="L370" s="18"/>
      <c r="M370" s="18"/>
      <c r="N370" s="18"/>
      <c r="O370" s="18"/>
      <c r="P370" s="18"/>
      <c r="Q370" s="18"/>
      <c r="W370" s="18"/>
      <c r="X370" s="18"/>
      <c r="Y370" s="18"/>
    </row>
    <row r="371" spans="6:25" ht="15.75" customHeight="1">
      <c r="F371" s="18"/>
      <c r="G371" s="18"/>
      <c r="I371" s="18"/>
      <c r="J371" s="18"/>
      <c r="K371" s="18"/>
      <c r="L371" s="18"/>
      <c r="M371" s="18"/>
      <c r="N371" s="18"/>
      <c r="O371" s="18"/>
      <c r="P371" s="18"/>
      <c r="Q371" s="18"/>
      <c r="W371" s="18"/>
      <c r="X371" s="18"/>
      <c r="Y371" s="18"/>
    </row>
    <row r="372" spans="6:25" ht="15.75" customHeight="1">
      <c r="F372" s="18"/>
      <c r="G372" s="18"/>
      <c r="I372" s="18"/>
      <c r="J372" s="18"/>
      <c r="K372" s="18"/>
      <c r="L372" s="18"/>
      <c r="M372" s="18"/>
      <c r="N372" s="18"/>
      <c r="O372" s="18"/>
      <c r="P372" s="18"/>
      <c r="Q372" s="18"/>
      <c r="W372" s="18"/>
      <c r="X372" s="18"/>
      <c r="Y372" s="18"/>
    </row>
    <row r="373" spans="6:25" ht="15.75" customHeight="1">
      <c r="F373" s="18"/>
      <c r="G373" s="18"/>
      <c r="I373" s="18"/>
      <c r="J373" s="18"/>
      <c r="K373" s="18"/>
      <c r="L373" s="18"/>
      <c r="M373" s="18"/>
      <c r="N373" s="18"/>
      <c r="O373" s="18"/>
      <c r="P373" s="18"/>
      <c r="Q373" s="18"/>
      <c r="W373" s="18"/>
      <c r="X373" s="18"/>
      <c r="Y373" s="18"/>
    </row>
    <row r="374" spans="6:25" ht="15.75" customHeight="1">
      <c r="F374" s="18"/>
      <c r="G374" s="18"/>
      <c r="I374" s="18"/>
      <c r="J374" s="18"/>
      <c r="K374" s="18"/>
      <c r="L374" s="18"/>
      <c r="M374" s="18"/>
      <c r="N374" s="18"/>
      <c r="O374" s="18"/>
      <c r="P374" s="18"/>
      <c r="Q374" s="18"/>
      <c r="W374" s="18"/>
      <c r="X374" s="18"/>
      <c r="Y374" s="18"/>
    </row>
    <row r="375" spans="6:25" ht="15.75" customHeight="1">
      <c r="F375" s="18"/>
      <c r="G375" s="18"/>
      <c r="I375" s="18"/>
      <c r="J375" s="18"/>
      <c r="K375" s="18"/>
      <c r="L375" s="18"/>
      <c r="M375" s="18"/>
      <c r="N375" s="18"/>
      <c r="O375" s="18"/>
      <c r="P375" s="18"/>
      <c r="Q375" s="18"/>
      <c r="W375" s="18"/>
      <c r="X375" s="18"/>
      <c r="Y375" s="18"/>
    </row>
    <row r="376" spans="6:25" ht="15.75" customHeight="1">
      <c r="F376" s="18"/>
      <c r="G376" s="18"/>
      <c r="I376" s="18"/>
      <c r="J376" s="18"/>
      <c r="K376" s="18"/>
      <c r="L376" s="18"/>
      <c r="M376" s="18"/>
      <c r="N376" s="18"/>
      <c r="O376" s="18"/>
      <c r="P376" s="18"/>
      <c r="Q376" s="18"/>
      <c r="W376" s="18"/>
      <c r="X376" s="18"/>
      <c r="Y376" s="18"/>
    </row>
    <row r="377" spans="6:25" ht="15.75" customHeight="1">
      <c r="F377" s="18"/>
      <c r="G377" s="18"/>
      <c r="I377" s="18"/>
      <c r="J377" s="18"/>
      <c r="K377" s="18"/>
      <c r="L377" s="18"/>
      <c r="M377" s="18"/>
      <c r="N377" s="18"/>
      <c r="O377" s="18"/>
      <c r="P377" s="18"/>
      <c r="Q377" s="18"/>
      <c r="W377" s="18"/>
      <c r="X377" s="18"/>
      <c r="Y377" s="18"/>
    </row>
    <row r="378" spans="6:25" ht="15.75" customHeight="1">
      <c r="F378" s="18"/>
      <c r="G378" s="18"/>
      <c r="I378" s="18"/>
      <c r="J378" s="18"/>
      <c r="K378" s="18"/>
      <c r="L378" s="18"/>
      <c r="M378" s="18"/>
      <c r="N378" s="18"/>
      <c r="O378" s="18"/>
      <c r="P378" s="18"/>
      <c r="Q378" s="18"/>
      <c r="W378" s="18"/>
      <c r="X378" s="18"/>
      <c r="Y378" s="18"/>
    </row>
    <row r="379" spans="6:25" ht="15.75" customHeight="1">
      <c r="F379" s="18"/>
      <c r="G379" s="18"/>
      <c r="I379" s="18"/>
      <c r="J379" s="18"/>
      <c r="K379" s="18"/>
      <c r="L379" s="18"/>
      <c r="M379" s="18"/>
      <c r="N379" s="18"/>
      <c r="O379" s="18"/>
      <c r="P379" s="18"/>
      <c r="Q379" s="18"/>
      <c r="W379" s="18"/>
      <c r="X379" s="18"/>
      <c r="Y379" s="18"/>
    </row>
    <row r="380" spans="6:25" ht="15.75" customHeight="1">
      <c r="F380" s="18"/>
      <c r="G380" s="18"/>
      <c r="I380" s="18"/>
      <c r="J380" s="18"/>
      <c r="K380" s="18"/>
      <c r="L380" s="18"/>
      <c r="M380" s="18"/>
      <c r="N380" s="18"/>
      <c r="O380" s="18"/>
      <c r="P380" s="18"/>
      <c r="Q380" s="18"/>
      <c r="W380" s="18"/>
      <c r="X380" s="18"/>
      <c r="Y380" s="18"/>
    </row>
    <row r="381" spans="6:25" ht="15.75" customHeight="1">
      <c r="F381" s="18"/>
      <c r="G381" s="18"/>
      <c r="I381" s="18"/>
      <c r="J381" s="18"/>
      <c r="K381" s="18"/>
      <c r="L381" s="18"/>
      <c r="M381" s="18"/>
      <c r="N381" s="18"/>
      <c r="O381" s="18"/>
      <c r="P381" s="18"/>
      <c r="Q381" s="18"/>
      <c r="W381" s="18"/>
      <c r="X381" s="18"/>
      <c r="Y381" s="18"/>
    </row>
    <row r="382" spans="6:25" ht="15.75" customHeight="1">
      <c r="F382" s="18"/>
      <c r="G382" s="18"/>
      <c r="I382" s="18"/>
      <c r="J382" s="18"/>
      <c r="K382" s="18"/>
      <c r="L382" s="18"/>
      <c r="M382" s="18"/>
      <c r="N382" s="18"/>
      <c r="O382" s="18"/>
      <c r="P382" s="18"/>
      <c r="Q382" s="18"/>
      <c r="W382" s="18"/>
      <c r="X382" s="18"/>
      <c r="Y382" s="18"/>
    </row>
    <row r="383" spans="6:25" ht="15.75" customHeight="1">
      <c r="F383" s="18"/>
      <c r="G383" s="18"/>
      <c r="I383" s="18"/>
      <c r="J383" s="18"/>
      <c r="K383" s="18"/>
      <c r="L383" s="18"/>
      <c r="M383" s="18"/>
      <c r="N383" s="18"/>
      <c r="O383" s="18"/>
      <c r="P383" s="18"/>
      <c r="Q383" s="18"/>
      <c r="W383" s="18"/>
      <c r="X383" s="18"/>
      <c r="Y383" s="18"/>
    </row>
    <row r="384" spans="6:25" ht="15.75" customHeight="1">
      <c r="F384" s="18"/>
      <c r="G384" s="18"/>
      <c r="I384" s="18"/>
      <c r="J384" s="18"/>
      <c r="K384" s="18"/>
      <c r="L384" s="18"/>
      <c r="M384" s="18"/>
      <c r="N384" s="18"/>
      <c r="O384" s="18"/>
      <c r="P384" s="18"/>
      <c r="Q384" s="18"/>
      <c r="W384" s="18"/>
      <c r="X384" s="18"/>
      <c r="Y384" s="18"/>
    </row>
    <row r="385" spans="6:25" ht="15.75" customHeight="1">
      <c r="F385" s="18"/>
      <c r="G385" s="18"/>
      <c r="I385" s="18"/>
      <c r="J385" s="18"/>
      <c r="K385" s="18"/>
      <c r="L385" s="18"/>
      <c r="M385" s="18"/>
      <c r="N385" s="18"/>
      <c r="O385" s="18"/>
      <c r="P385" s="18"/>
      <c r="Q385" s="18"/>
      <c r="W385" s="18"/>
      <c r="X385" s="18"/>
      <c r="Y385" s="18"/>
    </row>
    <row r="386" spans="6:25" ht="15.75" customHeight="1">
      <c r="F386" s="18"/>
      <c r="G386" s="18"/>
      <c r="I386" s="18"/>
      <c r="J386" s="18"/>
      <c r="K386" s="18"/>
      <c r="L386" s="18"/>
      <c r="M386" s="18"/>
      <c r="N386" s="18"/>
      <c r="O386" s="18"/>
      <c r="P386" s="18"/>
      <c r="Q386" s="18"/>
      <c r="W386" s="18"/>
      <c r="X386" s="18"/>
      <c r="Y386" s="18"/>
    </row>
    <row r="387" spans="6:25" ht="15.75" customHeight="1">
      <c r="F387" s="18"/>
      <c r="G387" s="18"/>
      <c r="I387" s="18"/>
      <c r="J387" s="18"/>
      <c r="K387" s="18"/>
      <c r="L387" s="18"/>
      <c r="M387" s="18"/>
      <c r="N387" s="18"/>
      <c r="O387" s="18"/>
      <c r="P387" s="18"/>
      <c r="Q387" s="18"/>
      <c r="W387" s="18"/>
      <c r="X387" s="18"/>
      <c r="Y387" s="18"/>
    </row>
    <row r="388" spans="6:25" ht="15.75" customHeight="1">
      <c r="F388" s="18"/>
      <c r="G388" s="18"/>
      <c r="I388" s="18"/>
      <c r="J388" s="18"/>
      <c r="K388" s="18"/>
      <c r="L388" s="18"/>
      <c r="M388" s="18"/>
      <c r="N388" s="18"/>
      <c r="O388" s="18"/>
      <c r="P388" s="18"/>
      <c r="Q388" s="18"/>
      <c r="W388" s="18"/>
      <c r="X388" s="18"/>
      <c r="Y388" s="18"/>
    </row>
    <row r="389" spans="6:25" ht="15.75" customHeight="1">
      <c r="F389" s="18"/>
      <c r="G389" s="18"/>
      <c r="I389" s="18"/>
      <c r="J389" s="18"/>
      <c r="K389" s="18"/>
      <c r="L389" s="18"/>
      <c r="M389" s="18"/>
      <c r="N389" s="18"/>
      <c r="O389" s="18"/>
      <c r="P389" s="18"/>
      <c r="Q389" s="18"/>
      <c r="W389" s="18"/>
      <c r="X389" s="18"/>
      <c r="Y389" s="18"/>
    </row>
    <row r="390" spans="6:25" ht="15.75" customHeight="1">
      <c r="F390" s="18"/>
      <c r="G390" s="18"/>
      <c r="I390" s="18"/>
      <c r="J390" s="18"/>
      <c r="K390" s="18"/>
      <c r="L390" s="18"/>
      <c r="M390" s="18"/>
      <c r="N390" s="18"/>
      <c r="O390" s="18"/>
      <c r="P390" s="18"/>
      <c r="Q390" s="18"/>
      <c r="W390" s="18"/>
      <c r="X390" s="18"/>
      <c r="Y390" s="18"/>
    </row>
    <row r="391" spans="6:25" ht="15.75" customHeight="1">
      <c r="F391" s="18"/>
      <c r="G391" s="18"/>
      <c r="I391" s="18"/>
      <c r="J391" s="18"/>
      <c r="K391" s="18"/>
      <c r="L391" s="18"/>
      <c r="M391" s="18"/>
      <c r="N391" s="18"/>
      <c r="O391" s="18"/>
      <c r="P391" s="18"/>
      <c r="Q391" s="18"/>
      <c r="W391" s="18"/>
      <c r="X391" s="18"/>
      <c r="Y391" s="18"/>
    </row>
    <row r="392" spans="6:25" ht="15.75" customHeight="1">
      <c r="F392" s="18"/>
      <c r="G392" s="18"/>
      <c r="I392" s="18"/>
      <c r="J392" s="18"/>
      <c r="K392" s="18"/>
      <c r="L392" s="18"/>
      <c r="M392" s="18"/>
      <c r="N392" s="18"/>
      <c r="O392" s="18"/>
      <c r="P392" s="18"/>
      <c r="Q392" s="18"/>
      <c r="W392" s="18"/>
      <c r="X392" s="18"/>
      <c r="Y392" s="18"/>
    </row>
    <row r="393" spans="6:25" ht="15.75" customHeight="1">
      <c r="F393" s="18"/>
      <c r="G393" s="18"/>
      <c r="I393" s="18"/>
      <c r="J393" s="18"/>
      <c r="K393" s="18"/>
      <c r="L393" s="18"/>
      <c r="M393" s="18"/>
      <c r="N393" s="18"/>
      <c r="O393" s="18"/>
      <c r="P393" s="18"/>
      <c r="Q393" s="18"/>
      <c r="W393" s="18"/>
      <c r="X393" s="18"/>
      <c r="Y393" s="18"/>
    </row>
    <row r="394" spans="6:25" ht="15.75" customHeight="1">
      <c r="F394" s="18"/>
      <c r="G394" s="18"/>
      <c r="I394" s="18"/>
      <c r="J394" s="18"/>
      <c r="K394" s="18"/>
      <c r="L394" s="18"/>
      <c r="M394" s="18"/>
      <c r="N394" s="18"/>
      <c r="O394" s="18"/>
      <c r="P394" s="18"/>
      <c r="Q394" s="18"/>
      <c r="W394" s="18"/>
      <c r="X394" s="18"/>
      <c r="Y394" s="18"/>
    </row>
    <row r="395" spans="6:25" ht="15.75" customHeight="1">
      <c r="F395" s="18"/>
      <c r="G395" s="18"/>
      <c r="I395" s="18"/>
      <c r="J395" s="18"/>
      <c r="K395" s="18"/>
      <c r="L395" s="18"/>
      <c r="M395" s="18"/>
      <c r="N395" s="18"/>
      <c r="O395" s="18"/>
      <c r="P395" s="18"/>
      <c r="Q395" s="18"/>
      <c r="W395" s="18"/>
      <c r="X395" s="18"/>
      <c r="Y395" s="18"/>
    </row>
    <row r="396" spans="6:25" ht="15.75" customHeight="1">
      <c r="F396" s="18"/>
      <c r="G396" s="18"/>
      <c r="I396" s="18"/>
      <c r="J396" s="18"/>
      <c r="K396" s="18"/>
      <c r="L396" s="18"/>
      <c r="M396" s="18"/>
      <c r="N396" s="18"/>
      <c r="O396" s="18"/>
      <c r="P396" s="18"/>
      <c r="Q396" s="18"/>
      <c r="W396" s="18"/>
      <c r="X396" s="18"/>
      <c r="Y396" s="18"/>
    </row>
    <row r="397" spans="6:25" ht="15.75" customHeight="1">
      <c r="F397" s="18"/>
      <c r="G397" s="18"/>
      <c r="I397" s="18"/>
      <c r="J397" s="18"/>
      <c r="K397" s="18"/>
      <c r="L397" s="18"/>
      <c r="M397" s="18"/>
      <c r="N397" s="18"/>
      <c r="O397" s="18"/>
      <c r="P397" s="18"/>
      <c r="Q397" s="18"/>
      <c r="W397" s="18"/>
      <c r="X397" s="18"/>
      <c r="Y397" s="18"/>
    </row>
    <row r="398" spans="6:25" ht="15.75" customHeight="1">
      <c r="F398" s="18"/>
      <c r="G398" s="18"/>
      <c r="I398" s="18"/>
      <c r="J398" s="18"/>
      <c r="K398" s="18"/>
      <c r="L398" s="18"/>
      <c r="M398" s="18"/>
      <c r="N398" s="18"/>
      <c r="O398" s="18"/>
      <c r="P398" s="18"/>
      <c r="Q398" s="18"/>
      <c r="W398" s="18"/>
      <c r="X398" s="18"/>
      <c r="Y398" s="18"/>
    </row>
    <row r="399" spans="6:25" ht="15.75" customHeight="1">
      <c r="F399" s="18"/>
      <c r="G399" s="18"/>
      <c r="I399" s="18"/>
      <c r="J399" s="18"/>
      <c r="K399" s="18"/>
      <c r="L399" s="18"/>
      <c r="M399" s="18"/>
      <c r="N399" s="18"/>
      <c r="O399" s="18"/>
      <c r="P399" s="18"/>
      <c r="Q399" s="18"/>
      <c r="W399" s="18"/>
      <c r="X399" s="18"/>
      <c r="Y399" s="18"/>
    </row>
    <row r="400" spans="6:25" ht="15.75" customHeight="1">
      <c r="F400" s="18"/>
      <c r="G400" s="18"/>
      <c r="I400" s="18"/>
      <c r="J400" s="18"/>
      <c r="K400" s="18"/>
      <c r="L400" s="18"/>
      <c r="M400" s="18"/>
      <c r="N400" s="18"/>
      <c r="O400" s="18"/>
      <c r="P400" s="18"/>
      <c r="Q400" s="18"/>
      <c r="W400" s="18"/>
      <c r="X400" s="18"/>
      <c r="Y400" s="18"/>
    </row>
    <row r="401" spans="6:25" ht="15.75" customHeight="1">
      <c r="F401" s="18"/>
      <c r="G401" s="18"/>
      <c r="I401" s="18"/>
      <c r="J401" s="18"/>
      <c r="K401" s="18"/>
      <c r="L401" s="18"/>
      <c r="M401" s="18"/>
      <c r="N401" s="18"/>
      <c r="O401" s="18"/>
      <c r="P401" s="18"/>
      <c r="Q401" s="18"/>
      <c r="W401" s="18"/>
      <c r="X401" s="18"/>
      <c r="Y401" s="18"/>
    </row>
    <row r="402" spans="6:25" ht="15.75" customHeight="1">
      <c r="F402" s="18"/>
      <c r="G402" s="18"/>
      <c r="I402" s="18"/>
      <c r="J402" s="18"/>
      <c r="K402" s="18"/>
      <c r="L402" s="18"/>
      <c r="M402" s="18"/>
      <c r="N402" s="18"/>
      <c r="O402" s="18"/>
      <c r="P402" s="18"/>
      <c r="Q402" s="18"/>
      <c r="W402" s="18"/>
      <c r="X402" s="18"/>
      <c r="Y402" s="18"/>
    </row>
    <row r="403" spans="6:25" ht="15.75" customHeight="1">
      <c r="F403" s="18"/>
      <c r="G403" s="18"/>
      <c r="I403" s="18"/>
      <c r="J403" s="18"/>
      <c r="K403" s="18"/>
      <c r="L403" s="18"/>
      <c r="M403" s="18"/>
      <c r="N403" s="18"/>
      <c r="O403" s="18"/>
      <c r="P403" s="18"/>
      <c r="Q403" s="18"/>
      <c r="W403" s="18"/>
      <c r="X403" s="18"/>
      <c r="Y403" s="18"/>
    </row>
    <row r="404" spans="6:25" ht="15.75" customHeight="1">
      <c r="F404" s="18"/>
      <c r="G404" s="18"/>
      <c r="I404" s="18"/>
      <c r="J404" s="18"/>
      <c r="K404" s="18"/>
      <c r="L404" s="18"/>
      <c r="M404" s="18"/>
      <c r="N404" s="18"/>
      <c r="O404" s="18"/>
      <c r="P404" s="18"/>
      <c r="Q404" s="18"/>
      <c r="W404" s="18"/>
      <c r="X404" s="18"/>
      <c r="Y404" s="18"/>
    </row>
    <row r="405" spans="6:25" ht="15.75" customHeight="1">
      <c r="F405" s="18"/>
      <c r="G405" s="18"/>
      <c r="I405" s="18"/>
      <c r="J405" s="18"/>
      <c r="K405" s="18"/>
      <c r="L405" s="18"/>
      <c r="M405" s="18"/>
      <c r="N405" s="18"/>
      <c r="O405" s="18"/>
      <c r="P405" s="18"/>
      <c r="Q405" s="18"/>
      <c r="W405" s="18"/>
      <c r="X405" s="18"/>
      <c r="Y405" s="18"/>
    </row>
    <row r="406" spans="6:25" ht="15.75" customHeight="1">
      <c r="F406" s="18"/>
      <c r="G406" s="18"/>
      <c r="I406" s="18"/>
      <c r="J406" s="18"/>
      <c r="K406" s="18"/>
      <c r="L406" s="18"/>
      <c r="M406" s="18"/>
      <c r="N406" s="18"/>
      <c r="O406" s="18"/>
      <c r="P406" s="18"/>
      <c r="Q406" s="18"/>
      <c r="W406" s="18"/>
      <c r="X406" s="18"/>
      <c r="Y406" s="18"/>
    </row>
    <row r="407" spans="6:25" ht="15.75" customHeight="1">
      <c r="F407" s="18"/>
      <c r="G407" s="18"/>
      <c r="I407" s="18"/>
      <c r="J407" s="18"/>
      <c r="K407" s="18"/>
      <c r="L407" s="18"/>
      <c r="M407" s="18"/>
      <c r="N407" s="18"/>
      <c r="O407" s="18"/>
      <c r="P407" s="18"/>
      <c r="Q407" s="18"/>
      <c r="W407" s="18"/>
      <c r="X407" s="18"/>
      <c r="Y407" s="18"/>
    </row>
    <row r="408" spans="6:25" ht="15.75" customHeight="1">
      <c r="F408" s="18"/>
      <c r="G408" s="18"/>
      <c r="I408" s="18"/>
      <c r="J408" s="18"/>
      <c r="K408" s="18"/>
      <c r="L408" s="18"/>
      <c r="M408" s="18"/>
      <c r="N408" s="18"/>
      <c r="O408" s="18"/>
      <c r="P408" s="18"/>
      <c r="Q408" s="18"/>
      <c r="W408" s="18"/>
      <c r="X408" s="18"/>
      <c r="Y408" s="18"/>
    </row>
    <row r="409" spans="6:25" ht="15.75" customHeight="1">
      <c r="F409" s="18"/>
      <c r="G409" s="18"/>
      <c r="I409" s="18"/>
      <c r="J409" s="18"/>
      <c r="K409" s="18"/>
      <c r="L409" s="18"/>
      <c r="M409" s="18"/>
      <c r="N409" s="18"/>
      <c r="O409" s="18"/>
      <c r="P409" s="18"/>
      <c r="Q409" s="18"/>
      <c r="W409" s="18"/>
      <c r="X409" s="18"/>
      <c r="Y409" s="18"/>
    </row>
    <row r="410" spans="6:25" ht="15.75" customHeight="1">
      <c r="F410" s="18"/>
      <c r="G410" s="18"/>
      <c r="I410" s="18"/>
      <c r="J410" s="18"/>
      <c r="K410" s="18"/>
      <c r="L410" s="18"/>
      <c r="M410" s="18"/>
      <c r="N410" s="18"/>
      <c r="O410" s="18"/>
      <c r="P410" s="18"/>
      <c r="Q410" s="18"/>
      <c r="W410" s="18"/>
      <c r="X410" s="18"/>
      <c r="Y410" s="18"/>
    </row>
    <row r="411" spans="6:25" ht="15.75" customHeight="1">
      <c r="F411" s="18"/>
      <c r="G411" s="18"/>
      <c r="I411" s="18"/>
      <c r="J411" s="18"/>
      <c r="K411" s="18"/>
      <c r="L411" s="18"/>
      <c r="M411" s="18"/>
      <c r="N411" s="18"/>
      <c r="O411" s="18"/>
      <c r="P411" s="18"/>
      <c r="Q411" s="18"/>
      <c r="W411" s="18"/>
      <c r="X411" s="18"/>
      <c r="Y411" s="18"/>
    </row>
    <row r="412" spans="6:25" ht="15.75" customHeight="1">
      <c r="F412" s="18"/>
      <c r="G412" s="18"/>
      <c r="I412" s="18"/>
      <c r="J412" s="18"/>
      <c r="K412" s="18"/>
      <c r="L412" s="18"/>
      <c r="M412" s="18"/>
      <c r="N412" s="18"/>
      <c r="O412" s="18"/>
      <c r="P412" s="18"/>
      <c r="Q412" s="18"/>
      <c r="W412" s="18"/>
      <c r="X412" s="18"/>
      <c r="Y412" s="18"/>
    </row>
    <row r="413" spans="6:25" ht="15.75" customHeight="1">
      <c r="F413" s="18"/>
      <c r="G413" s="18"/>
      <c r="I413" s="18"/>
      <c r="J413" s="18"/>
      <c r="K413" s="18"/>
      <c r="L413" s="18"/>
      <c r="M413" s="18"/>
      <c r="N413" s="18"/>
      <c r="O413" s="18"/>
      <c r="P413" s="18"/>
      <c r="Q413" s="18"/>
      <c r="W413" s="18"/>
      <c r="X413" s="18"/>
      <c r="Y413" s="18"/>
    </row>
    <row r="414" spans="6:25" ht="15.75" customHeight="1">
      <c r="F414" s="18"/>
      <c r="G414" s="18"/>
      <c r="I414" s="18"/>
      <c r="J414" s="18"/>
      <c r="K414" s="18"/>
      <c r="L414" s="18"/>
      <c r="M414" s="18"/>
      <c r="N414" s="18"/>
      <c r="O414" s="18"/>
      <c r="P414" s="18"/>
      <c r="Q414" s="18"/>
      <c r="W414" s="18"/>
      <c r="X414" s="18"/>
      <c r="Y414" s="18"/>
    </row>
    <row r="415" spans="6:25" ht="15.75" customHeight="1">
      <c r="F415" s="18"/>
      <c r="G415" s="18"/>
      <c r="I415" s="18"/>
      <c r="J415" s="18"/>
      <c r="K415" s="18"/>
      <c r="L415" s="18"/>
      <c r="M415" s="18"/>
      <c r="N415" s="18"/>
      <c r="O415" s="18"/>
      <c r="P415" s="18"/>
      <c r="Q415" s="18"/>
      <c r="W415" s="18"/>
      <c r="X415" s="18"/>
      <c r="Y415" s="18"/>
    </row>
    <row r="416" spans="6:25" ht="15.75" customHeight="1">
      <c r="F416" s="18"/>
      <c r="G416" s="18"/>
      <c r="I416" s="18"/>
      <c r="J416" s="18"/>
      <c r="K416" s="18"/>
      <c r="L416" s="18"/>
      <c r="M416" s="18"/>
      <c r="N416" s="18"/>
      <c r="O416" s="18"/>
      <c r="P416" s="18"/>
      <c r="Q416" s="18"/>
      <c r="W416" s="18"/>
      <c r="X416" s="18"/>
      <c r="Y416" s="18"/>
    </row>
    <row r="417" spans="6:25" ht="15.75" customHeight="1">
      <c r="F417" s="18"/>
      <c r="G417" s="18"/>
      <c r="I417" s="18"/>
      <c r="J417" s="18"/>
      <c r="K417" s="18"/>
      <c r="L417" s="18"/>
      <c r="M417" s="18"/>
      <c r="N417" s="18"/>
      <c r="O417" s="18"/>
      <c r="P417" s="18"/>
      <c r="Q417" s="18"/>
      <c r="W417" s="18"/>
      <c r="X417" s="18"/>
      <c r="Y417" s="18"/>
    </row>
    <row r="418" spans="6:25" ht="15.75" customHeight="1">
      <c r="F418" s="18"/>
      <c r="G418" s="18"/>
      <c r="I418" s="18"/>
      <c r="J418" s="18"/>
      <c r="K418" s="18"/>
      <c r="L418" s="18"/>
      <c r="M418" s="18"/>
      <c r="N418" s="18"/>
      <c r="O418" s="18"/>
      <c r="P418" s="18"/>
      <c r="Q418" s="18"/>
      <c r="W418" s="18"/>
      <c r="X418" s="18"/>
      <c r="Y418" s="18"/>
    </row>
    <row r="419" spans="6:25" ht="15.75" customHeight="1">
      <c r="F419" s="18"/>
      <c r="G419" s="18"/>
      <c r="I419" s="18"/>
      <c r="J419" s="18"/>
      <c r="K419" s="18"/>
      <c r="L419" s="18"/>
      <c r="M419" s="18"/>
      <c r="N419" s="18"/>
      <c r="O419" s="18"/>
      <c r="P419" s="18"/>
      <c r="Q419" s="18"/>
      <c r="W419" s="18"/>
      <c r="X419" s="18"/>
      <c r="Y419" s="18"/>
    </row>
    <row r="420" spans="6:25" ht="15.75" customHeight="1">
      <c r="F420" s="18"/>
      <c r="G420" s="18"/>
      <c r="I420" s="18"/>
      <c r="J420" s="18"/>
      <c r="K420" s="18"/>
      <c r="L420" s="18"/>
      <c r="M420" s="18"/>
      <c r="N420" s="18"/>
      <c r="O420" s="18"/>
      <c r="P420" s="18"/>
      <c r="Q420" s="18"/>
      <c r="W420" s="18"/>
      <c r="X420" s="18"/>
      <c r="Y420" s="18"/>
    </row>
    <row r="421" spans="6:25" ht="15.75" customHeight="1">
      <c r="F421" s="18"/>
      <c r="G421" s="18"/>
      <c r="I421" s="18"/>
      <c r="J421" s="18"/>
      <c r="K421" s="18"/>
      <c r="L421" s="18"/>
      <c r="M421" s="18"/>
      <c r="N421" s="18"/>
      <c r="O421" s="18"/>
      <c r="P421" s="18"/>
      <c r="Q421" s="18"/>
      <c r="W421" s="18"/>
      <c r="X421" s="18"/>
      <c r="Y421" s="18"/>
    </row>
    <row r="422" spans="6:25" ht="15.75" customHeight="1">
      <c r="F422" s="18"/>
      <c r="G422" s="18"/>
      <c r="I422" s="18"/>
      <c r="J422" s="18"/>
      <c r="K422" s="18"/>
      <c r="L422" s="18"/>
      <c r="M422" s="18"/>
      <c r="N422" s="18"/>
      <c r="O422" s="18"/>
      <c r="P422" s="18"/>
      <c r="Q422" s="18"/>
      <c r="W422" s="18"/>
      <c r="X422" s="18"/>
      <c r="Y422" s="18"/>
    </row>
    <row r="423" spans="6:25" ht="15.75" customHeight="1">
      <c r="F423" s="18"/>
      <c r="G423" s="18"/>
      <c r="I423" s="18"/>
      <c r="J423" s="18"/>
      <c r="K423" s="18"/>
      <c r="L423" s="18"/>
      <c r="M423" s="18"/>
      <c r="N423" s="18"/>
      <c r="O423" s="18"/>
      <c r="P423" s="18"/>
      <c r="Q423" s="18"/>
      <c r="W423" s="18"/>
      <c r="X423" s="18"/>
      <c r="Y423" s="18"/>
    </row>
    <row r="424" spans="6:25" ht="15.75" customHeight="1">
      <c r="F424" s="18"/>
      <c r="G424" s="18"/>
      <c r="I424" s="18"/>
      <c r="J424" s="18"/>
      <c r="K424" s="18"/>
      <c r="L424" s="18"/>
      <c r="M424" s="18"/>
      <c r="N424" s="18"/>
      <c r="O424" s="18"/>
      <c r="P424" s="18"/>
      <c r="Q424" s="18"/>
      <c r="W424" s="18"/>
      <c r="X424" s="18"/>
      <c r="Y424" s="18"/>
    </row>
    <row r="425" spans="6:25" ht="15.75" customHeight="1">
      <c r="F425" s="18"/>
      <c r="G425" s="18"/>
      <c r="I425" s="18"/>
      <c r="J425" s="18"/>
      <c r="K425" s="18"/>
      <c r="L425" s="18"/>
      <c r="M425" s="18"/>
      <c r="N425" s="18"/>
      <c r="O425" s="18"/>
      <c r="P425" s="18"/>
      <c r="Q425" s="18"/>
      <c r="W425" s="18"/>
      <c r="X425" s="18"/>
      <c r="Y425" s="18"/>
    </row>
    <row r="426" spans="6:25" ht="15.75" customHeight="1">
      <c r="F426" s="18"/>
      <c r="G426" s="18"/>
      <c r="I426" s="18"/>
      <c r="J426" s="18"/>
      <c r="K426" s="18"/>
      <c r="L426" s="18"/>
      <c r="M426" s="18"/>
      <c r="N426" s="18"/>
      <c r="O426" s="18"/>
      <c r="P426" s="18"/>
      <c r="Q426" s="18"/>
      <c r="W426" s="18"/>
      <c r="X426" s="18"/>
      <c r="Y426" s="18"/>
    </row>
    <row r="427" spans="6:25" ht="15.75" customHeight="1">
      <c r="F427" s="18"/>
      <c r="G427" s="18"/>
      <c r="I427" s="18"/>
      <c r="J427" s="18"/>
      <c r="K427" s="18"/>
      <c r="L427" s="18"/>
      <c r="M427" s="18"/>
      <c r="N427" s="18"/>
      <c r="O427" s="18"/>
      <c r="P427" s="18"/>
      <c r="Q427" s="18"/>
      <c r="W427" s="18"/>
      <c r="X427" s="18"/>
      <c r="Y427" s="18"/>
    </row>
    <row r="428" spans="6:25" ht="15.75" customHeight="1">
      <c r="F428" s="18"/>
      <c r="G428" s="18"/>
      <c r="I428" s="18"/>
      <c r="J428" s="18"/>
      <c r="K428" s="18"/>
      <c r="L428" s="18"/>
      <c r="M428" s="18"/>
      <c r="N428" s="18"/>
      <c r="O428" s="18"/>
      <c r="P428" s="18"/>
      <c r="Q428" s="18"/>
      <c r="W428" s="18"/>
      <c r="X428" s="18"/>
      <c r="Y428" s="18"/>
    </row>
    <row r="429" spans="6:25" ht="15.75" customHeight="1">
      <c r="F429" s="18"/>
      <c r="G429" s="18"/>
      <c r="I429" s="18"/>
      <c r="J429" s="18"/>
      <c r="K429" s="18"/>
      <c r="L429" s="18"/>
      <c r="M429" s="18"/>
      <c r="N429" s="18"/>
      <c r="O429" s="18"/>
      <c r="P429" s="18"/>
      <c r="Q429" s="18"/>
      <c r="W429" s="18"/>
      <c r="X429" s="18"/>
      <c r="Y429" s="18"/>
    </row>
    <row r="430" spans="6:25" ht="15.75" customHeight="1">
      <c r="F430" s="18"/>
      <c r="G430" s="18"/>
      <c r="I430" s="18"/>
      <c r="J430" s="18"/>
      <c r="K430" s="18"/>
      <c r="L430" s="18"/>
      <c r="M430" s="18"/>
      <c r="N430" s="18"/>
      <c r="O430" s="18"/>
      <c r="P430" s="18"/>
      <c r="Q430" s="18"/>
      <c r="W430" s="18"/>
      <c r="X430" s="18"/>
      <c r="Y430" s="18"/>
    </row>
    <row r="431" spans="6:25" ht="15.75" customHeight="1">
      <c r="F431" s="18"/>
      <c r="G431" s="18"/>
      <c r="I431" s="18"/>
      <c r="J431" s="18"/>
      <c r="K431" s="18"/>
      <c r="L431" s="18"/>
      <c r="M431" s="18"/>
      <c r="N431" s="18"/>
      <c r="O431" s="18"/>
      <c r="P431" s="18"/>
      <c r="Q431" s="18"/>
      <c r="W431" s="18"/>
      <c r="X431" s="18"/>
      <c r="Y431" s="18"/>
    </row>
    <row r="432" spans="6:25" ht="15.75" customHeight="1">
      <c r="F432" s="18"/>
      <c r="G432" s="18"/>
      <c r="I432" s="18"/>
      <c r="J432" s="18"/>
      <c r="K432" s="18"/>
      <c r="L432" s="18"/>
      <c r="M432" s="18"/>
      <c r="N432" s="18"/>
      <c r="O432" s="18"/>
      <c r="P432" s="18"/>
      <c r="Q432" s="18"/>
      <c r="W432" s="18"/>
      <c r="X432" s="18"/>
      <c r="Y432" s="18"/>
    </row>
    <row r="433" spans="6:25" ht="15.75" customHeight="1">
      <c r="F433" s="18"/>
      <c r="G433" s="18"/>
      <c r="I433" s="18"/>
      <c r="J433" s="18"/>
      <c r="K433" s="18"/>
      <c r="L433" s="18"/>
      <c r="M433" s="18"/>
      <c r="N433" s="18"/>
      <c r="O433" s="18"/>
      <c r="P433" s="18"/>
      <c r="Q433" s="18"/>
      <c r="W433" s="18"/>
      <c r="X433" s="18"/>
      <c r="Y433" s="18"/>
    </row>
    <row r="434" spans="6:25" ht="15.75" customHeight="1">
      <c r="F434" s="18"/>
      <c r="G434" s="18"/>
      <c r="I434" s="18"/>
      <c r="J434" s="18"/>
      <c r="K434" s="18"/>
      <c r="L434" s="18"/>
      <c r="M434" s="18"/>
      <c r="N434" s="18"/>
      <c r="O434" s="18"/>
      <c r="P434" s="18"/>
      <c r="Q434" s="18"/>
      <c r="W434" s="18"/>
      <c r="X434" s="18"/>
      <c r="Y434" s="18"/>
    </row>
    <row r="435" spans="6:25" ht="15.75" customHeight="1">
      <c r="F435" s="18"/>
      <c r="G435" s="18"/>
      <c r="I435" s="18"/>
      <c r="J435" s="18"/>
      <c r="K435" s="18"/>
      <c r="L435" s="18"/>
      <c r="M435" s="18"/>
      <c r="N435" s="18"/>
      <c r="O435" s="18"/>
      <c r="P435" s="18"/>
      <c r="Q435" s="18"/>
      <c r="W435" s="18"/>
      <c r="X435" s="18"/>
      <c r="Y435" s="18"/>
    </row>
    <row r="436" spans="6:25" ht="15.75" customHeight="1">
      <c r="F436" s="18"/>
      <c r="G436" s="18"/>
      <c r="I436" s="18"/>
      <c r="J436" s="18"/>
      <c r="K436" s="18"/>
      <c r="L436" s="18"/>
      <c r="M436" s="18"/>
      <c r="N436" s="18"/>
      <c r="O436" s="18"/>
      <c r="P436" s="18"/>
      <c r="Q436" s="18"/>
      <c r="W436" s="18"/>
      <c r="X436" s="18"/>
      <c r="Y436" s="18"/>
    </row>
    <row r="437" spans="6:25" ht="15.75" customHeight="1">
      <c r="F437" s="18"/>
      <c r="G437" s="18"/>
      <c r="I437" s="18"/>
      <c r="J437" s="18"/>
      <c r="K437" s="18"/>
      <c r="L437" s="18"/>
      <c r="M437" s="18"/>
      <c r="N437" s="18"/>
      <c r="O437" s="18"/>
      <c r="P437" s="18"/>
      <c r="Q437" s="18"/>
      <c r="W437" s="18"/>
      <c r="X437" s="18"/>
      <c r="Y437" s="18"/>
    </row>
    <row r="438" spans="6:25" ht="15.75" customHeight="1">
      <c r="F438" s="18"/>
      <c r="G438" s="18"/>
      <c r="I438" s="18"/>
      <c r="J438" s="18"/>
      <c r="K438" s="18"/>
      <c r="L438" s="18"/>
      <c r="M438" s="18"/>
      <c r="N438" s="18"/>
      <c r="O438" s="18"/>
      <c r="P438" s="18"/>
      <c r="Q438" s="18"/>
      <c r="W438" s="18"/>
      <c r="X438" s="18"/>
      <c r="Y438" s="18"/>
    </row>
    <row r="439" spans="6:25" ht="15.75" customHeight="1">
      <c r="F439" s="18"/>
      <c r="G439" s="18"/>
      <c r="I439" s="18"/>
      <c r="J439" s="18"/>
      <c r="K439" s="18"/>
      <c r="L439" s="18"/>
      <c r="M439" s="18"/>
      <c r="N439" s="18"/>
      <c r="O439" s="18"/>
      <c r="P439" s="18"/>
      <c r="Q439" s="18"/>
      <c r="W439" s="18"/>
      <c r="X439" s="18"/>
      <c r="Y439" s="18"/>
    </row>
    <row r="440" spans="6:25" ht="15.75" customHeight="1">
      <c r="F440" s="18"/>
      <c r="G440" s="18"/>
      <c r="I440" s="18"/>
      <c r="J440" s="18"/>
      <c r="K440" s="18"/>
      <c r="L440" s="18"/>
      <c r="M440" s="18"/>
      <c r="N440" s="18"/>
      <c r="O440" s="18"/>
      <c r="P440" s="18"/>
      <c r="Q440" s="18"/>
      <c r="W440" s="18"/>
      <c r="X440" s="18"/>
      <c r="Y440" s="18"/>
    </row>
    <row r="441" spans="6:25" ht="15.75" customHeight="1">
      <c r="F441" s="18"/>
      <c r="G441" s="18"/>
      <c r="I441" s="18"/>
      <c r="J441" s="18"/>
      <c r="K441" s="18"/>
      <c r="L441" s="18"/>
      <c r="M441" s="18"/>
      <c r="N441" s="18"/>
      <c r="O441" s="18"/>
      <c r="P441" s="18"/>
      <c r="Q441" s="18"/>
      <c r="W441" s="18"/>
      <c r="X441" s="18"/>
      <c r="Y441" s="18"/>
    </row>
    <row r="442" spans="6:25" ht="15.75" customHeight="1">
      <c r="F442" s="18"/>
      <c r="G442" s="18"/>
      <c r="I442" s="18"/>
      <c r="J442" s="18"/>
      <c r="K442" s="18"/>
      <c r="L442" s="18"/>
      <c r="M442" s="18"/>
      <c r="N442" s="18"/>
      <c r="O442" s="18"/>
      <c r="P442" s="18"/>
      <c r="Q442" s="18"/>
      <c r="W442" s="18"/>
      <c r="X442" s="18"/>
      <c r="Y442" s="18"/>
    </row>
    <row r="443" spans="6:25" ht="15.75" customHeight="1">
      <c r="F443" s="18"/>
      <c r="G443" s="18"/>
      <c r="I443" s="18"/>
      <c r="J443" s="18"/>
      <c r="K443" s="18"/>
      <c r="L443" s="18"/>
      <c r="M443" s="18"/>
      <c r="N443" s="18"/>
      <c r="O443" s="18"/>
      <c r="P443" s="18"/>
      <c r="Q443" s="18"/>
      <c r="W443" s="18"/>
      <c r="X443" s="18"/>
      <c r="Y443" s="18"/>
    </row>
    <row r="444" spans="6:25" ht="15.75" customHeight="1">
      <c r="F444" s="18"/>
      <c r="G444" s="18"/>
      <c r="I444" s="18"/>
      <c r="J444" s="18"/>
      <c r="K444" s="18"/>
      <c r="L444" s="18"/>
      <c r="M444" s="18"/>
      <c r="N444" s="18"/>
      <c r="O444" s="18"/>
      <c r="P444" s="18"/>
      <c r="Q444" s="18"/>
      <c r="W444" s="18"/>
      <c r="X444" s="18"/>
      <c r="Y444" s="18"/>
    </row>
    <row r="445" spans="6:25" ht="15.75" customHeight="1">
      <c r="F445" s="18"/>
      <c r="G445" s="18"/>
      <c r="I445" s="18"/>
      <c r="J445" s="18"/>
      <c r="K445" s="18"/>
      <c r="L445" s="18"/>
      <c r="M445" s="18"/>
      <c r="N445" s="18"/>
      <c r="O445" s="18"/>
      <c r="P445" s="18"/>
      <c r="Q445" s="18"/>
      <c r="W445" s="18"/>
      <c r="X445" s="18"/>
      <c r="Y445" s="18"/>
    </row>
    <row r="446" spans="6:25" ht="15.75" customHeight="1">
      <c r="F446" s="18"/>
      <c r="G446" s="18"/>
      <c r="I446" s="18"/>
      <c r="J446" s="18"/>
      <c r="K446" s="18"/>
      <c r="L446" s="18"/>
      <c r="M446" s="18"/>
      <c r="N446" s="18"/>
      <c r="O446" s="18"/>
      <c r="P446" s="18"/>
      <c r="Q446" s="18"/>
      <c r="W446" s="18"/>
      <c r="X446" s="18"/>
      <c r="Y446" s="18"/>
    </row>
    <row r="447" spans="6:25" ht="15.75" customHeight="1">
      <c r="F447" s="18"/>
      <c r="G447" s="18"/>
      <c r="I447" s="18"/>
      <c r="J447" s="18"/>
      <c r="K447" s="18"/>
      <c r="L447" s="18"/>
      <c r="M447" s="18"/>
      <c r="N447" s="18"/>
      <c r="O447" s="18"/>
      <c r="P447" s="18"/>
      <c r="Q447" s="18"/>
      <c r="W447" s="18"/>
      <c r="X447" s="18"/>
      <c r="Y447" s="18"/>
    </row>
    <row r="448" spans="6:25" ht="15.75" customHeight="1">
      <c r="F448" s="18"/>
      <c r="G448" s="18"/>
      <c r="I448" s="18"/>
      <c r="J448" s="18"/>
      <c r="K448" s="18"/>
      <c r="L448" s="18"/>
      <c r="M448" s="18"/>
      <c r="N448" s="18"/>
      <c r="O448" s="18"/>
      <c r="P448" s="18"/>
      <c r="Q448" s="18"/>
      <c r="W448" s="18"/>
      <c r="X448" s="18"/>
      <c r="Y448" s="18"/>
    </row>
    <row r="449" spans="6:25" ht="15.75" customHeight="1">
      <c r="F449" s="18"/>
      <c r="G449" s="18"/>
      <c r="I449" s="18"/>
      <c r="J449" s="18"/>
      <c r="K449" s="18"/>
      <c r="L449" s="18"/>
      <c r="M449" s="18"/>
      <c r="N449" s="18"/>
      <c r="O449" s="18"/>
      <c r="P449" s="18"/>
      <c r="Q449" s="18"/>
      <c r="W449" s="18"/>
      <c r="X449" s="18"/>
      <c r="Y449" s="18"/>
    </row>
    <row r="450" spans="6:25" ht="15.75" customHeight="1">
      <c r="F450" s="18"/>
      <c r="G450" s="18"/>
      <c r="I450" s="18"/>
      <c r="J450" s="18"/>
      <c r="K450" s="18"/>
      <c r="L450" s="18"/>
      <c r="M450" s="18"/>
      <c r="N450" s="18"/>
      <c r="O450" s="18"/>
      <c r="P450" s="18"/>
      <c r="Q450" s="18"/>
      <c r="W450" s="18"/>
      <c r="X450" s="18"/>
      <c r="Y450" s="18"/>
    </row>
    <row r="451" spans="6:25" ht="15.75" customHeight="1">
      <c r="F451" s="18"/>
      <c r="G451" s="18"/>
      <c r="I451" s="18"/>
      <c r="J451" s="18"/>
      <c r="K451" s="18"/>
      <c r="L451" s="18"/>
      <c r="M451" s="18"/>
      <c r="N451" s="18"/>
      <c r="O451" s="18"/>
      <c r="P451" s="18"/>
      <c r="Q451" s="18"/>
      <c r="W451" s="18"/>
      <c r="X451" s="18"/>
      <c r="Y451" s="18"/>
    </row>
    <row r="452" spans="6:25" ht="15.75" customHeight="1">
      <c r="F452" s="18"/>
      <c r="G452" s="18"/>
      <c r="I452" s="18"/>
      <c r="J452" s="18"/>
      <c r="K452" s="18"/>
      <c r="L452" s="18"/>
      <c r="M452" s="18"/>
      <c r="N452" s="18"/>
      <c r="O452" s="18"/>
      <c r="P452" s="18"/>
      <c r="Q452" s="18"/>
      <c r="W452" s="18"/>
      <c r="X452" s="18"/>
      <c r="Y452" s="18"/>
    </row>
    <row r="453" spans="6:25" ht="15.75" customHeight="1">
      <c r="F453" s="18"/>
      <c r="G453" s="18"/>
      <c r="I453" s="18"/>
      <c r="J453" s="18"/>
      <c r="K453" s="18"/>
      <c r="L453" s="18"/>
      <c r="M453" s="18"/>
      <c r="N453" s="18"/>
      <c r="O453" s="18"/>
      <c r="P453" s="18"/>
      <c r="Q453" s="18"/>
      <c r="W453" s="18"/>
      <c r="X453" s="18"/>
      <c r="Y453" s="18"/>
    </row>
    <row r="454" spans="6:25" ht="15.75" customHeight="1">
      <c r="F454" s="18"/>
      <c r="G454" s="18"/>
      <c r="I454" s="18"/>
      <c r="J454" s="18"/>
      <c r="K454" s="18"/>
      <c r="L454" s="18"/>
      <c r="M454" s="18"/>
      <c r="N454" s="18"/>
      <c r="O454" s="18"/>
      <c r="P454" s="18"/>
      <c r="Q454" s="18"/>
      <c r="W454" s="18"/>
      <c r="X454" s="18"/>
      <c r="Y454" s="18"/>
    </row>
    <row r="455" spans="6:25" ht="15.75" customHeight="1">
      <c r="F455" s="18"/>
      <c r="G455" s="18"/>
      <c r="I455" s="18"/>
      <c r="J455" s="18"/>
      <c r="K455" s="18"/>
      <c r="L455" s="18"/>
      <c r="M455" s="18"/>
      <c r="N455" s="18"/>
      <c r="O455" s="18"/>
      <c r="P455" s="18"/>
      <c r="Q455" s="18"/>
      <c r="W455" s="18"/>
      <c r="X455" s="18"/>
      <c r="Y455" s="18"/>
    </row>
    <row r="456" spans="6:25" ht="15.75" customHeight="1">
      <c r="F456" s="18"/>
      <c r="G456" s="18"/>
      <c r="I456" s="18"/>
      <c r="J456" s="18"/>
      <c r="K456" s="18"/>
      <c r="L456" s="18"/>
      <c r="M456" s="18"/>
      <c r="N456" s="18"/>
      <c r="O456" s="18"/>
      <c r="P456" s="18"/>
      <c r="Q456" s="18"/>
      <c r="W456" s="18"/>
      <c r="X456" s="18"/>
      <c r="Y456" s="18"/>
    </row>
    <row r="457" spans="6:25" ht="15.75" customHeight="1">
      <c r="F457" s="18"/>
      <c r="G457" s="18"/>
      <c r="I457" s="18"/>
      <c r="J457" s="18"/>
      <c r="K457" s="18"/>
      <c r="L457" s="18"/>
      <c r="M457" s="18"/>
      <c r="N457" s="18"/>
      <c r="O457" s="18"/>
      <c r="P457" s="18"/>
      <c r="Q457" s="18"/>
      <c r="W457" s="18"/>
      <c r="X457" s="18"/>
      <c r="Y457" s="18"/>
    </row>
    <row r="458" spans="6:25" ht="15.75" customHeight="1">
      <c r="F458" s="18"/>
      <c r="G458" s="18"/>
      <c r="I458" s="18"/>
      <c r="J458" s="18"/>
      <c r="K458" s="18"/>
      <c r="L458" s="18"/>
      <c r="M458" s="18"/>
      <c r="N458" s="18"/>
      <c r="O458" s="18"/>
      <c r="P458" s="18"/>
      <c r="Q458" s="18"/>
      <c r="W458" s="18"/>
      <c r="X458" s="18"/>
      <c r="Y458" s="18"/>
    </row>
    <row r="459" spans="6:25" ht="15.75" customHeight="1">
      <c r="F459" s="18"/>
      <c r="G459" s="18"/>
      <c r="I459" s="18"/>
      <c r="J459" s="18"/>
      <c r="K459" s="18"/>
      <c r="L459" s="18"/>
      <c r="M459" s="18"/>
      <c r="N459" s="18"/>
      <c r="O459" s="18"/>
      <c r="P459" s="18"/>
      <c r="Q459" s="18"/>
      <c r="W459" s="18"/>
      <c r="X459" s="18"/>
      <c r="Y459" s="18"/>
    </row>
    <row r="460" spans="6:25" ht="15.75" customHeight="1">
      <c r="F460" s="18"/>
      <c r="G460" s="18"/>
      <c r="I460" s="18"/>
      <c r="J460" s="18"/>
      <c r="K460" s="18"/>
      <c r="L460" s="18"/>
      <c r="M460" s="18"/>
      <c r="N460" s="18"/>
      <c r="O460" s="18"/>
      <c r="P460" s="18"/>
      <c r="Q460" s="18"/>
      <c r="W460" s="18"/>
      <c r="X460" s="18"/>
      <c r="Y460" s="18"/>
    </row>
    <row r="461" spans="6:25" ht="15.75" customHeight="1">
      <c r="F461" s="18"/>
      <c r="G461" s="18"/>
      <c r="I461" s="18"/>
      <c r="J461" s="18"/>
      <c r="K461" s="18"/>
      <c r="L461" s="18"/>
      <c r="M461" s="18"/>
      <c r="N461" s="18"/>
      <c r="O461" s="18"/>
      <c r="P461" s="18"/>
      <c r="Q461" s="18"/>
      <c r="W461" s="18"/>
      <c r="X461" s="18"/>
      <c r="Y461" s="18"/>
    </row>
    <row r="462" spans="6:25" ht="15.75" customHeight="1">
      <c r="F462" s="18"/>
      <c r="G462" s="18"/>
      <c r="I462" s="18"/>
      <c r="J462" s="18"/>
      <c r="K462" s="18"/>
      <c r="L462" s="18"/>
      <c r="M462" s="18"/>
      <c r="N462" s="18"/>
      <c r="O462" s="18"/>
      <c r="P462" s="18"/>
      <c r="Q462" s="18"/>
      <c r="W462" s="18"/>
      <c r="X462" s="18"/>
      <c r="Y462" s="18"/>
    </row>
    <row r="463" spans="6:25" ht="15.75" customHeight="1">
      <c r="F463" s="18"/>
      <c r="G463" s="18"/>
      <c r="I463" s="18"/>
      <c r="J463" s="18"/>
      <c r="K463" s="18"/>
      <c r="L463" s="18"/>
      <c r="M463" s="18"/>
      <c r="N463" s="18"/>
      <c r="O463" s="18"/>
      <c r="P463" s="18"/>
      <c r="Q463" s="18"/>
      <c r="W463" s="18"/>
      <c r="X463" s="18"/>
      <c r="Y463" s="18"/>
    </row>
    <row r="464" spans="6:25" ht="15.75" customHeight="1">
      <c r="F464" s="18"/>
      <c r="G464" s="18"/>
      <c r="I464" s="18"/>
      <c r="J464" s="18"/>
      <c r="K464" s="18"/>
      <c r="L464" s="18"/>
      <c r="M464" s="18"/>
      <c r="N464" s="18"/>
      <c r="O464" s="18"/>
      <c r="P464" s="18"/>
      <c r="Q464" s="18"/>
      <c r="W464" s="18"/>
      <c r="X464" s="18"/>
      <c r="Y464" s="18"/>
    </row>
    <row r="465" spans="6:25" ht="15.75" customHeight="1">
      <c r="F465" s="18"/>
      <c r="G465" s="18"/>
      <c r="I465" s="18"/>
      <c r="J465" s="18"/>
      <c r="K465" s="18"/>
      <c r="L465" s="18"/>
      <c r="M465" s="18"/>
      <c r="N465" s="18"/>
      <c r="O465" s="18"/>
      <c r="P465" s="18"/>
      <c r="Q465" s="18"/>
      <c r="W465" s="18"/>
      <c r="X465" s="18"/>
      <c r="Y465" s="18"/>
    </row>
    <row r="466" spans="6:25" ht="15.75" customHeight="1">
      <c r="F466" s="18"/>
      <c r="G466" s="18"/>
      <c r="I466" s="18"/>
      <c r="J466" s="18"/>
      <c r="K466" s="18"/>
      <c r="L466" s="18"/>
      <c r="M466" s="18"/>
      <c r="N466" s="18"/>
      <c r="O466" s="18"/>
      <c r="P466" s="18"/>
      <c r="Q466" s="18"/>
      <c r="W466" s="18"/>
      <c r="X466" s="18"/>
      <c r="Y466" s="18"/>
    </row>
    <row r="467" spans="6:25" ht="15.75" customHeight="1">
      <c r="F467" s="18"/>
      <c r="G467" s="18"/>
      <c r="I467" s="18"/>
      <c r="J467" s="18"/>
      <c r="K467" s="18"/>
      <c r="L467" s="18"/>
      <c r="M467" s="18"/>
      <c r="N467" s="18"/>
      <c r="O467" s="18"/>
      <c r="P467" s="18"/>
      <c r="Q467" s="18"/>
      <c r="W467" s="18"/>
      <c r="X467" s="18"/>
      <c r="Y467" s="18"/>
    </row>
    <row r="468" spans="6:25" ht="15.75" customHeight="1">
      <c r="F468" s="18"/>
      <c r="G468" s="18"/>
      <c r="I468" s="18"/>
      <c r="J468" s="18"/>
      <c r="K468" s="18"/>
      <c r="L468" s="18"/>
      <c r="M468" s="18"/>
      <c r="N468" s="18"/>
      <c r="O468" s="18"/>
      <c r="P468" s="18"/>
      <c r="Q468" s="18"/>
      <c r="W468" s="18"/>
      <c r="X468" s="18"/>
      <c r="Y468" s="18"/>
    </row>
    <row r="469" spans="6:25" ht="15.75" customHeight="1">
      <c r="F469" s="18"/>
      <c r="G469" s="18"/>
      <c r="I469" s="18"/>
      <c r="J469" s="18"/>
      <c r="K469" s="18"/>
      <c r="L469" s="18"/>
      <c r="M469" s="18"/>
      <c r="N469" s="18"/>
      <c r="O469" s="18"/>
      <c r="P469" s="18"/>
      <c r="Q469" s="18"/>
      <c r="W469" s="18"/>
      <c r="X469" s="18"/>
      <c r="Y469" s="18"/>
    </row>
    <row r="470" spans="6:25" ht="15.75" customHeight="1">
      <c r="F470" s="18"/>
      <c r="G470" s="18"/>
      <c r="I470" s="18"/>
      <c r="J470" s="18"/>
      <c r="K470" s="18"/>
      <c r="L470" s="18"/>
      <c r="M470" s="18"/>
      <c r="N470" s="18"/>
      <c r="O470" s="18"/>
      <c r="P470" s="18"/>
      <c r="Q470" s="18"/>
      <c r="W470" s="18"/>
      <c r="X470" s="18"/>
      <c r="Y470" s="18"/>
    </row>
    <row r="471" spans="6:25" ht="15.75" customHeight="1">
      <c r="F471" s="18"/>
      <c r="G471" s="18"/>
      <c r="I471" s="18"/>
      <c r="J471" s="18"/>
      <c r="K471" s="18"/>
      <c r="L471" s="18"/>
      <c r="M471" s="18"/>
      <c r="N471" s="18"/>
      <c r="O471" s="18"/>
      <c r="P471" s="18"/>
      <c r="Q471" s="18"/>
      <c r="W471" s="18"/>
      <c r="X471" s="18"/>
      <c r="Y471" s="18"/>
    </row>
    <row r="472" spans="6:25" ht="15.75" customHeight="1">
      <c r="F472" s="18"/>
      <c r="G472" s="18"/>
      <c r="I472" s="18"/>
      <c r="J472" s="18"/>
      <c r="K472" s="18"/>
      <c r="L472" s="18"/>
      <c r="M472" s="18"/>
      <c r="N472" s="18"/>
      <c r="O472" s="18"/>
      <c r="P472" s="18"/>
      <c r="Q472" s="18"/>
      <c r="W472" s="18"/>
      <c r="X472" s="18"/>
      <c r="Y472" s="18"/>
    </row>
    <row r="473" spans="6:25" ht="15.75" customHeight="1">
      <c r="F473" s="18"/>
      <c r="G473" s="18"/>
      <c r="I473" s="18"/>
      <c r="J473" s="18"/>
      <c r="K473" s="18"/>
      <c r="L473" s="18"/>
      <c r="M473" s="18"/>
      <c r="N473" s="18"/>
      <c r="O473" s="18"/>
      <c r="P473" s="18"/>
      <c r="Q473" s="18"/>
      <c r="W473" s="18"/>
      <c r="X473" s="18"/>
      <c r="Y473" s="18"/>
    </row>
    <row r="474" spans="6:25" ht="15.75" customHeight="1">
      <c r="F474" s="18"/>
      <c r="G474" s="18"/>
      <c r="I474" s="18"/>
      <c r="J474" s="18"/>
      <c r="K474" s="18"/>
      <c r="L474" s="18"/>
      <c r="M474" s="18"/>
      <c r="N474" s="18"/>
      <c r="O474" s="18"/>
      <c r="P474" s="18"/>
      <c r="Q474" s="18"/>
      <c r="W474" s="18"/>
      <c r="X474" s="18"/>
      <c r="Y474" s="18"/>
    </row>
    <row r="475" spans="6:25" ht="15.75" customHeight="1">
      <c r="F475" s="18"/>
      <c r="G475" s="18"/>
      <c r="I475" s="18"/>
      <c r="J475" s="18"/>
      <c r="K475" s="18"/>
      <c r="L475" s="18"/>
      <c r="M475" s="18"/>
      <c r="N475" s="18"/>
      <c r="O475" s="18"/>
      <c r="P475" s="18"/>
      <c r="Q475" s="18"/>
      <c r="W475" s="18"/>
      <c r="X475" s="18"/>
      <c r="Y475" s="18"/>
    </row>
    <row r="476" spans="6:25" ht="15.75" customHeight="1">
      <c r="F476" s="18"/>
      <c r="G476" s="18"/>
      <c r="I476" s="18"/>
      <c r="J476" s="18"/>
      <c r="K476" s="18"/>
      <c r="L476" s="18"/>
      <c r="M476" s="18"/>
      <c r="N476" s="18"/>
      <c r="O476" s="18"/>
      <c r="P476" s="18"/>
      <c r="Q476" s="18"/>
      <c r="W476" s="18"/>
      <c r="X476" s="18"/>
      <c r="Y476" s="18"/>
    </row>
    <row r="477" spans="6:25" ht="15.75" customHeight="1">
      <c r="F477" s="18"/>
      <c r="G477" s="18"/>
      <c r="I477" s="18"/>
      <c r="J477" s="18"/>
      <c r="K477" s="18"/>
      <c r="L477" s="18"/>
      <c r="M477" s="18"/>
      <c r="N477" s="18"/>
      <c r="O477" s="18"/>
      <c r="P477" s="18"/>
      <c r="Q477" s="18"/>
      <c r="W477" s="18"/>
      <c r="X477" s="18"/>
      <c r="Y477" s="18"/>
    </row>
    <row r="478" spans="6:25" ht="15.75" customHeight="1">
      <c r="F478" s="18"/>
      <c r="G478" s="18"/>
      <c r="I478" s="18"/>
      <c r="J478" s="18"/>
      <c r="K478" s="18"/>
      <c r="L478" s="18"/>
      <c r="M478" s="18"/>
      <c r="N478" s="18"/>
      <c r="O478" s="18"/>
      <c r="P478" s="18"/>
      <c r="Q478" s="18"/>
      <c r="W478" s="18"/>
      <c r="X478" s="18"/>
      <c r="Y478" s="18"/>
    </row>
    <row r="479" spans="6:25" ht="15.75" customHeight="1">
      <c r="F479" s="18"/>
      <c r="G479" s="18"/>
      <c r="I479" s="18"/>
      <c r="J479" s="18"/>
      <c r="K479" s="18"/>
      <c r="L479" s="18"/>
      <c r="M479" s="18"/>
      <c r="N479" s="18"/>
      <c r="O479" s="18"/>
      <c r="P479" s="18"/>
      <c r="Q479" s="18"/>
      <c r="W479" s="18"/>
      <c r="X479" s="18"/>
      <c r="Y479" s="18"/>
    </row>
    <row r="480" spans="6:25" ht="15.75" customHeight="1">
      <c r="F480" s="18"/>
      <c r="G480" s="18"/>
      <c r="I480" s="18"/>
      <c r="J480" s="18"/>
      <c r="K480" s="18"/>
      <c r="L480" s="18"/>
      <c r="M480" s="18"/>
      <c r="N480" s="18"/>
      <c r="O480" s="18"/>
      <c r="P480" s="18"/>
      <c r="Q480" s="18"/>
      <c r="W480" s="18"/>
      <c r="X480" s="18"/>
      <c r="Y480" s="18"/>
    </row>
    <row r="481" spans="6:25" ht="15.75" customHeight="1">
      <c r="F481" s="18"/>
      <c r="G481" s="18"/>
      <c r="I481" s="18"/>
      <c r="J481" s="18"/>
      <c r="K481" s="18"/>
      <c r="L481" s="18"/>
      <c r="M481" s="18"/>
      <c r="N481" s="18"/>
      <c r="O481" s="18"/>
      <c r="P481" s="18"/>
      <c r="Q481" s="18"/>
      <c r="W481" s="18"/>
      <c r="X481" s="18"/>
      <c r="Y481" s="18"/>
    </row>
    <row r="482" spans="6:25" ht="15.75" customHeight="1">
      <c r="F482" s="18"/>
      <c r="G482" s="18"/>
      <c r="I482" s="18"/>
      <c r="J482" s="18"/>
      <c r="K482" s="18"/>
      <c r="L482" s="18"/>
      <c r="M482" s="18"/>
      <c r="N482" s="18"/>
      <c r="O482" s="18"/>
      <c r="P482" s="18"/>
      <c r="Q482" s="18"/>
      <c r="W482" s="18"/>
      <c r="X482" s="18"/>
      <c r="Y482" s="18"/>
    </row>
    <row r="483" spans="6:25" ht="15.75" customHeight="1">
      <c r="F483" s="18"/>
      <c r="G483" s="18"/>
      <c r="I483" s="18"/>
      <c r="J483" s="18"/>
      <c r="K483" s="18"/>
      <c r="L483" s="18"/>
      <c r="M483" s="18"/>
      <c r="N483" s="18"/>
      <c r="O483" s="18"/>
      <c r="P483" s="18"/>
      <c r="Q483" s="18"/>
      <c r="W483" s="18"/>
      <c r="X483" s="18"/>
      <c r="Y483" s="18"/>
    </row>
    <row r="484" spans="6:25" ht="15.75" customHeight="1">
      <c r="F484" s="18"/>
      <c r="G484" s="18"/>
      <c r="I484" s="18"/>
      <c r="J484" s="18"/>
      <c r="K484" s="18"/>
      <c r="L484" s="18"/>
      <c r="M484" s="18"/>
      <c r="N484" s="18"/>
      <c r="O484" s="18"/>
      <c r="P484" s="18"/>
      <c r="Q484" s="18"/>
      <c r="W484" s="18"/>
      <c r="X484" s="18"/>
      <c r="Y484" s="18"/>
    </row>
    <row r="485" spans="6:25" ht="15.75" customHeight="1">
      <c r="F485" s="18"/>
      <c r="G485" s="18"/>
      <c r="I485" s="18"/>
      <c r="J485" s="18"/>
      <c r="K485" s="18"/>
      <c r="L485" s="18"/>
      <c r="M485" s="18"/>
      <c r="N485" s="18"/>
      <c r="O485" s="18"/>
      <c r="P485" s="18"/>
      <c r="Q485" s="18"/>
      <c r="W485" s="18"/>
      <c r="X485" s="18"/>
      <c r="Y485" s="18"/>
    </row>
    <row r="486" spans="6:25" ht="15.75" customHeight="1">
      <c r="F486" s="18"/>
      <c r="G486" s="18"/>
      <c r="I486" s="18"/>
      <c r="J486" s="18"/>
      <c r="K486" s="18"/>
      <c r="L486" s="18"/>
      <c r="M486" s="18"/>
      <c r="N486" s="18"/>
      <c r="O486" s="18"/>
      <c r="P486" s="18"/>
      <c r="Q486" s="18"/>
      <c r="W486" s="18"/>
      <c r="X486" s="18"/>
      <c r="Y486" s="18"/>
    </row>
    <row r="487" spans="6:25" ht="15.75" customHeight="1">
      <c r="F487" s="18"/>
      <c r="G487" s="18"/>
      <c r="I487" s="18"/>
      <c r="J487" s="18"/>
      <c r="K487" s="18"/>
      <c r="L487" s="18"/>
      <c r="M487" s="18"/>
      <c r="N487" s="18"/>
      <c r="O487" s="18"/>
      <c r="P487" s="18"/>
      <c r="Q487" s="18"/>
      <c r="W487" s="18"/>
      <c r="X487" s="18"/>
      <c r="Y487" s="18"/>
    </row>
    <row r="488" spans="6:25" ht="15.75" customHeight="1">
      <c r="F488" s="18"/>
      <c r="G488" s="18"/>
      <c r="I488" s="18"/>
      <c r="J488" s="18"/>
      <c r="K488" s="18"/>
      <c r="L488" s="18"/>
      <c r="M488" s="18"/>
      <c r="N488" s="18"/>
      <c r="O488" s="18"/>
      <c r="P488" s="18"/>
      <c r="Q488" s="18"/>
      <c r="W488" s="18"/>
      <c r="X488" s="18"/>
      <c r="Y488" s="18"/>
    </row>
    <row r="489" spans="6:25" ht="15.75" customHeight="1">
      <c r="F489" s="18"/>
      <c r="G489" s="18"/>
      <c r="I489" s="18"/>
      <c r="J489" s="18"/>
      <c r="K489" s="18"/>
      <c r="L489" s="18"/>
      <c r="M489" s="18"/>
      <c r="N489" s="18"/>
      <c r="O489" s="18"/>
      <c r="P489" s="18"/>
      <c r="Q489" s="18"/>
      <c r="W489" s="18"/>
      <c r="X489" s="18"/>
      <c r="Y489" s="18"/>
    </row>
    <row r="490" spans="6:25" ht="15.75" customHeight="1">
      <c r="F490" s="18"/>
      <c r="G490" s="18"/>
      <c r="I490" s="18"/>
      <c r="J490" s="18"/>
      <c r="K490" s="18"/>
      <c r="L490" s="18"/>
      <c r="M490" s="18"/>
      <c r="N490" s="18"/>
      <c r="O490" s="18"/>
      <c r="P490" s="18"/>
      <c r="Q490" s="18"/>
      <c r="W490" s="18"/>
      <c r="X490" s="18"/>
      <c r="Y490" s="18"/>
    </row>
    <row r="491" spans="6:25" ht="15.75" customHeight="1">
      <c r="F491" s="18"/>
      <c r="G491" s="18"/>
      <c r="I491" s="18"/>
      <c r="J491" s="18"/>
      <c r="K491" s="18"/>
      <c r="L491" s="18"/>
      <c r="M491" s="18"/>
      <c r="N491" s="18"/>
      <c r="O491" s="18"/>
      <c r="P491" s="18"/>
      <c r="Q491" s="18"/>
      <c r="W491" s="18"/>
      <c r="X491" s="18"/>
      <c r="Y491" s="18"/>
    </row>
    <row r="492" spans="6:25" ht="15.75" customHeight="1">
      <c r="F492" s="18"/>
      <c r="G492" s="18"/>
      <c r="I492" s="18"/>
      <c r="J492" s="18"/>
      <c r="K492" s="18"/>
      <c r="L492" s="18"/>
      <c r="M492" s="18"/>
      <c r="N492" s="18"/>
      <c r="O492" s="18"/>
      <c r="P492" s="18"/>
      <c r="Q492" s="18"/>
      <c r="W492" s="18"/>
      <c r="X492" s="18"/>
      <c r="Y492" s="18"/>
    </row>
    <row r="493" spans="6:25" ht="15.75" customHeight="1">
      <c r="F493" s="18"/>
      <c r="G493" s="18"/>
      <c r="I493" s="18"/>
      <c r="J493" s="18"/>
      <c r="K493" s="18"/>
      <c r="L493" s="18"/>
      <c r="M493" s="18"/>
      <c r="N493" s="18"/>
      <c r="O493" s="18"/>
      <c r="P493" s="18"/>
      <c r="Q493" s="18"/>
      <c r="W493" s="18"/>
      <c r="X493" s="18"/>
      <c r="Y493" s="18"/>
    </row>
    <row r="494" spans="6:25" ht="15.75" customHeight="1">
      <c r="F494" s="18"/>
      <c r="G494" s="18"/>
      <c r="I494" s="18"/>
      <c r="J494" s="18"/>
      <c r="K494" s="18"/>
      <c r="L494" s="18"/>
      <c r="M494" s="18"/>
      <c r="N494" s="18"/>
      <c r="O494" s="18"/>
      <c r="P494" s="18"/>
      <c r="Q494" s="18"/>
      <c r="W494" s="18"/>
      <c r="X494" s="18"/>
      <c r="Y494" s="18"/>
    </row>
    <row r="495" spans="6:25" ht="15.75" customHeight="1">
      <c r="F495" s="18"/>
      <c r="G495" s="18"/>
      <c r="I495" s="18"/>
      <c r="J495" s="18"/>
      <c r="K495" s="18"/>
      <c r="L495" s="18"/>
      <c r="M495" s="18"/>
      <c r="N495" s="18"/>
      <c r="O495" s="18"/>
      <c r="P495" s="18"/>
      <c r="Q495" s="18"/>
      <c r="W495" s="18"/>
      <c r="X495" s="18"/>
      <c r="Y495" s="18"/>
    </row>
    <row r="496" spans="6:25" ht="15.75" customHeight="1">
      <c r="F496" s="18"/>
      <c r="G496" s="18"/>
      <c r="I496" s="18"/>
      <c r="J496" s="18"/>
      <c r="K496" s="18"/>
      <c r="L496" s="18"/>
      <c r="M496" s="18"/>
      <c r="N496" s="18"/>
      <c r="O496" s="18"/>
      <c r="P496" s="18"/>
      <c r="Q496" s="18"/>
      <c r="W496" s="18"/>
      <c r="X496" s="18"/>
      <c r="Y496" s="18"/>
    </row>
    <row r="497" spans="6:25" ht="15.75" customHeight="1">
      <c r="F497" s="18"/>
      <c r="G497" s="18"/>
      <c r="I497" s="18"/>
      <c r="J497" s="18"/>
      <c r="K497" s="18"/>
      <c r="L497" s="18"/>
      <c r="M497" s="18"/>
      <c r="N497" s="18"/>
      <c r="O497" s="18"/>
      <c r="P497" s="18"/>
      <c r="Q497" s="18"/>
      <c r="W497" s="18"/>
      <c r="X497" s="18"/>
      <c r="Y497" s="18"/>
    </row>
    <row r="498" spans="6:25" ht="15.75" customHeight="1">
      <c r="F498" s="18"/>
      <c r="G498" s="18"/>
      <c r="I498" s="18"/>
      <c r="J498" s="18"/>
      <c r="K498" s="18"/>
      <c r="L498" s="18"/>
      <c r="M498" s="18"/>
      <c r="N498" s="18"/>
      <c r="O498" s="18"/>
      <c r="P498" s="18"/>
      <c r="Q498" s="18"/>
      <c r="W498" s="18"/>
      <c r="X498" s="18"/>
      <c r="Y498" s="18"/>
    </row>
    <row r="499" spans="6:25" ht="15.75" customHeight="1">
      <c r="F499" s="18"/>
      <c r="G499" s="18"/>
      <c r="I499" s="18"/>
      <c r="J499" s="18"/>
      <c r="K499" s="18"/>
      <c r="L499" s="18"/>
      <c r="M499" s="18"/>
      <c r="N499" s="18"/>
      <c r="O499" s="18"/>
      <c r="P499" s="18"/>
      <c r="Q499" s="18"/>
      <c r="W499" s="18"/>
      <c r="X499" s="18"/>
      <c r="Y499" s="18"/>
    </row>
    <row r="500" spans="6:25" ht="15.75" customHeight="1">
      <c r="F500" s="18"/>
      <c r="G500" s="18"/>
      <c r="I500" s="18"/>
      <c r="J500" s="18"/>
      <c r="K500" s="18"/>
      <c r="L500" s="18"/>
      <c r="M500" s="18"/>
      <c r="N500" s="18"/>
      <c r="O500" s="18"/>
      <c r="P500" s="18"/>
      <c r="Q500" s="18"/>
      <c r="W500" s="18"/>
      <c r="X500" s="18"/>
      <c r="Y500" s="18"/>
    </row>
    <row r="501" spans="6:25" ht="15.75" customHeight="1">
      <c r="F501" s="18"/>
      <c r="G501" s="18"/>
      <c r="I501" s="18"/>
      <c r="J501" s="18"/>
      <c r="K501" s="18"/>
      <c r="L501" s="18"/>
      <c r="M501" s="18"/>
      <c r="N501" s="18"/>
      <c r="O501" s="18"/>
      <c r="P501" s="18"/>
      <c r="Q501" s="18"/>
      <c r="W501" s="18"/>
      <c r="X501" s="18"/>
      <c r="Y501" s="18"/>
    </row>
    <row r="502" spans="6:25" ht="15.75" customHeight="1">
      <c r="F502" s="18"/>
      <c r="G502" s="18"/>
      <c r="I502" s="18"/>
      <c r="J502" s="18"/>
      <c r="K502" s="18"/>
      <c r="L502" s="18"/>
      <c r="M502" s="18"/>
      <c r="N502" s="18"/>
      <c r="O502" s="18"/>
      <c r="P502" s="18"/>
      <c r="Q502" s="18"/>
      <c r="W502" s="18"/>
      <c r="X502" s="18"/>
      <c r="Y502" s="18"/>
    </row>
    <row r="503" spans="6:25" ht="15.75" customHeight="1">
      <c r="F503" s="18"/>
      <c r="G503" s="18"/>
      <c r="I503" s="18"/>
      <c r="J503" s="18"/>
      <c r="K503" s="18"/>
      <c r="L503" s="18"/>
      <c r="M503" s="18"/>
      <c r="N503" s="18"/>
      <c r="O503" s="18"/>
      <c r="P503" s="18"/>
      <c r="Q503" s="18"/>
      <c r="W503" s="18"/>
      <c r="X503" s="18"/>
      <c r="Y503" s="18"/>
    </row>
    <row r="504" spans="6:25" ht="15.75" customHeight="1">
      <c r="F504" s="18"/>
      <c r="G504" s="18"/>
      <c r="I504" s="18"/>
      <c r="J504" s="18"/>
      <c r="K504" s="18"/>
      <c r="L504" s="18"/>
      <c r="M504" s="18"/>
      <c r="N504" s="18"/>
      <c r="O504" s="18"/>
      <c r="P504" s="18"/>
      <c r="Q504" s="18"/>
      <c r="W504" s="18"/>
      <c r="X504" s="18"/>
      <c r="Y504" s="18"/>
    </row>
    <row r="505" spans="6:25" ht="15.75" customHeight="1">
      <c r="F505" s="18"/>
      <c r="G505" s="18"/>
      <c r="I505" s="18"/>
      <c r="J505" s="18"/>
      <c r="K505" s="18"/>
      <c r="L505" s="18"/>
      <c r="M505" s="18"/>
      <c r="N505" s="18"/>
      <c r="O505" s="18"/>
      <c r="P505" s="18"/>
      <c r="Q505" s="18"/>
      <c r="W505" s="18"/>
      <c r="X505" s="18"/>
      <c r="Y505" s="18"/>
    </row>
    <row r="506" spans="6:25" ht="15.75" customHeight="1">
      <c r="F506" s="18"/>
      <c r="G506" s="18"/>
      <c r="I506" s="18"/>
      <c r="J506" s="18"/>
      <c r="K506" s="18"/>
      <c r="L506" s="18"/>
      <c r="M506" s="18"/>
      <c r="N506" s="18"/>
      <c r="O506" s="18"/>
      <c r="P506" s="18"/>
      <c r="Q506" s="18"/>
      <c r="W506" s="18"/>
      <c r="X506" s="18"/>
      <c r="Y506" s="18"/>
    </row>
    <row r="507" spans="6:25" ht="15.75" customHeight="1">
      <c r="F507" s="18"/>
      <c r="G507" s="18"/>
      <c r="I507" s="18"/>
      <c r="J507" s="18"/>
      <c r="K507" s="18"/>
      <c r="L507" s="18"/>
      <c r="M507" s="18"/>
      <c r="N507" s="18"/>
      <c r="O507" s="18"/>
      <c r="P507" s="18"/>
      <c r="Q507" s="18"/>
      <c r="W507" s="18"/>
      <c r="X507" s="18"/>
      <c r="Y507" s="18"/>
    </row>
    <row r="508" spans="6:25" ht="15.75" customHeight="1">
      <c r="F508" s="18"/>
      <c r="G508" s="18"/>
      <c r="I508" s="18"/>
      <c r="J508" s="18"/>
      <c r="K508" s="18"/>
      <c r="L508" s="18"/>
      <c r="M508" s="18"/>
      <c r="N508" s="18"/>
      <c r="O508" s="18"/>
      <c r="P508" s="18"/>
      <c r="Q508" s="18"/>
      <c r="W508" s="18"/>
      <c r="X508" s="18"/>
      <c r="Y508" s="18"/>
    </row>
    <row r="509" spans="6:25" ht="15.75" customHeight="1">
      <c r="F509" s="18"/>
      <c r="G509" s="18"/>
      <c r="I509" s="18"/>
      <c r="J509" s="18"/>
      <c r="K509" s="18"/>
      <c r="L509" s="18"/>
      <c r="M509" s="18"/>
      <c r="N509" s="18"/>
      <c r="O509" s="18"/>
      <c r="P509" s="18"/>
      <c r="Q509" s="18"/>
      <c r="W509" s="18"/>
      <c r="X509" s="18"/>
      <c r="Y509" s="18"/>
    </row>
    <row r="510" spans="6:25" ht="15.75" customHeight="1">
      <c r="F510" s="18"/>
      <c r="G510" s="18"/>
      <c r="I510" s="18"/>
      <c r="J510" s="18"/>
      <c r="K510" s="18"/>
      <c r="L510" s="18"/>
      <c r="M510" s="18"/>
      <c r="N510" s="18"/>
      <c r="O510" s="18"/>
      <c r="P510" s="18"/>
      <c r="Q510" s="18"/>
      <c r="W510" s="18"/>
      <c r="X510" s="18"/>
      <c r="Y510" s="18"/>
    </row>
    <row r="511" spans="6:25" ht="15.75" customHeight="1">
      <c r="F511" s="18"/>
      <c r="G511" s="18"/>
      <c r="I511" s="18"/>
      <c r="J511" s="18"/>
      <c r="K511" s="18"/>
      <c r="L511" s="18"/>
      <c r="M511" s="18"/>
      <c r="N511" s="18"/>
      <c r="O511" s="18"/>
      <c r="P511" s="18"/>
      <c r="Q511" s="18"/>
      <c r="W511" s="18"/>
      <c r="X511" s="18"/>
      <c r="Y511" s="18"/>
    </row>
    <row r="512" spans="6:25" ht="15.75" customHeight="1">
      <c r="F512" s="18"/>
      <c r="G512" s="18"/>
      <c r="I512" s="18"/>
      <c r="J512" s="18"/>
      <c r="K512" s="18"/>
      <c r="L512" s="18"/>
      <c r="M512" s="18"/>
      <c r="N512" s="18"/>
      <c r="O512" s="18"/>
      <c r="P512" s="18"/>
      <c r="Q512" s="18"/>
      <c r="W512" s="18"/>
      <c r="X512" s="18"/>
      <c r="Y512" s="18"/>
    </row>
    <row r="513" spans="6:25" ht="15.75" customHeight="1">
      <c r="F513" s="18"/>
      <c r="G513" s="18"/>
      <c r="I513" s="18"/>
      <c r="J513" s="18"/>
      <c r="K513" s="18"/>
      <c r="L513" s="18"/>
      <c r="M513" s="18"/>
      <c r="N513" s="18"/>
      <c r="O513" s="18"/>
      <c r="P513" s="18"/>
      <c r="Q513" s="18"/>
      <c r="W513" s="18"/>
      <c r="X513" s="18"/>
      <c r="Y513" s="18"/>
    </row>
    <row r="514" spans="6:25" ht="15.75" customHeight="1">
      <c r="F514" s="18"/>
      <c r="G514" s="18"/>
      <c r="I514" s="18"/>
      <c r="J514" s="18"/>
      <c r="K514" s="18"/>
      <c r="L514" s="18"/>
      <c r="M514" s="18"/>
      <c r="N514" s="18"/>
      <c r="O514" s="18"/>
      <c r="P514" s="18"/>
      <c r="Q514" s="18"/>
      <c r="W514" s="18"/>
      <c r="X514" s="18"/>
      <c r="Y514" s="18"/>
    </row>
    <row r="515" spans="6:25" ht="15.75" customHeight="1">
      <c r="F515" s="18"/>
      <c r="G515" s="18"/>
      <c r="I515" s="18"/>
      <c r="J515" s="18"/>
      <c r="K515" s="18"/>
      <c r="L515" s="18"/>
      <c r="M515" s="18"/>
      <c r="N515" s="18"/>
      <c r="O515" s="18"/>
      <c r="P515" s="18"/>
      <c r="Q515" s="18"/>
      <c r="W515" s="18"/>
      <c r="X515" s="18"/>
      <c r="Y515" s="18"/>
    </row>
    <row r="516" spans="6:25" ht="15.75" customHeight="1">
      <c r="F516" s="18"/>
      <c r="G516" s="18"/>
      <c r="I516" s="18"/>
      <c r="J516" s="18"/>
      <c r="K516" s="18"/>
      <c r="L516" s="18"/>
      <c r="M516" s="18"/>
      <c r="N516" s="18"/>
      <c r="O516" s="18"/>
      <c r="P516" s="18"/>
      <c r="Q516" s="18"/>
      <c r="W516" s="18"/>
      <c r="X516" s="18"/>
      <c r="Y516" s="18"/>
    </row>
    <row r="517" spans="6:25" ht="15.75" customHeight="1">
      <c r="F517" s="18"/>
      <c r="G517" s="18"/>
      <c r="I517" s="18"/>
      <c r="J517" s="18"/>
      <c r="K517" s="18"/>
      <c r="L517" s="18"/>
      <c r="M517" s="18"/>
      <c r="N517" s="18"/>
      <c r="O517" s="18"/>
      <c r="P517" s="18"/>
      <c r="Q517" s="18"/>
      <c r="W517" s="18"/>
      <c r="X517" s="18"/>
      <c r="Y517" s="18"/>
    </row>
    <row r="518" spans="6:25" ht="15.75" customHeight="1">
      <c r="F518" s="18"/>
      <c r="G518" s="18"/>
      <c r="I518" s="18"/>
      <c r="J518" s="18"/>
      <c r="K518" s="18"/>
      <c r="L518" s="18"/>
      <c r="M518" s="18"/>
      <c r="N518" s="18"/>
      <c r="O518" s="18"/>
      <c r="P518" s="18"/>
      <c r="Q518" s="18"/>
      <c r="W518" s="18"/>
      <c r="X518" s="18"/>
      <c r="Y518" s="18"/>
    </row>
    <row r="519" spans="6:25" ht="15.75" customHeight="1">
      <c r="F519" s="18"/>
      <c r="G519" s="18"/>
      <c r="I519" s="18"/>
      <c r="J519" s="18"/>
      <c r="K519" s="18"/>
      <c r="L519" s="18"/>
      <c r="M519" s="18"/>
      <c r="N519" s="18"/>
      <c r="O519" s="18"/>
      <c r="P519" s="18"/>
      <c r="Q519" s="18"/>
      <c r="W519" s="18"/>
      <c r="X519" s="18"/>
      <c r="Y519" s="18"/>
    </row>
    <row r="520" spans="6:25" ht="15.75" customHeight="1">
      <c r="F520" s="18"/>
      <c r="G520" s="18"/>
      <c r="I520" s="18"/>
      <c r="J520" s="18"/>
      <c r="K520" s="18"/>
      <c r="L520" s="18"/>
      <c r="M520" s="18"/>
      <c r="N520" s="18"/>
      <c r="O520" s="18"/>
      <c r="P520" s="18"/>
      <c r="Q520" s="18"/>
      <c r="W520" s="18"/>
      <c r="X520" s="18"/>
      <c r="Y520" s="18"/>
    </row>
    <row r="521" spans="6:25" ht="15.75" customHeight="1">
      <c r="F521" s="18"/>
      <c r="G521" s="18"/>
      <c r="I521" s="18"/>
      <c r="J521" s="18"/>
      <c r="K521" s="18"/>
      <c r="L521" s="18"/>
      <c r="M521" s="18"/>
      <c r="N521" s="18"/>
      <c r="O521" s="18"/>
      <c r="P521" s="18"/>
      <c r="Q521" s="18"/>
      <c r="W521" s="18"/>
      <c r="X521" s="18"/>
      <c r="Y521" s="18"/>
    </row>
    <row r="522" spans="6:25" ht="15.75" customHeight="1">
      <c r="F522" s="18"/>
      <c r="G522" s="18"/>
      <c r="I522" s="18"/>
      <c r="J522" s="18"/>
      <c r="K522" s="18"/>
      <c r="L522" s="18"/>
      <c r="M522" s="18"/>
      <c r="N522" s="18"/>
      <c r="O522" s="18"/>
      <c r="P522" s="18"/>
      <c r="Q522" s="18"/>
      <c r="W522" s="18"/>
      <c r="X522" s="18"/>
      <c r="Y522" s="18"/>
    </row>
    <row r="523" spans="6:25" ht="15.75" customHeight="1">
      <c r="F523" s="18"/>
      <c r="G523" s="18"/>
      <c r="I523" s="18"/>
      <c r="J523" s="18"/>
      <c r="K523" s="18"/>
      <c r="L523" s="18"/>
      <c r="M523" s="18"/>
      <c r="N523" s="18"/>
      <c r="O523" s="18"/>
      <c r="P523" s="18"/>
      <c r="Q523" s="18"/>
      <c r="W523" s="18"/>
      <c r="X523" s="18"/>
      <c r="Y523" s="18"/>
    </row>
    <row r="524" spans="6:25" ht="15.75" customHeight="1">
      <c r="F524" s="18"/>
      <c r="G524" s="18"/>
      <c r="I524" s="18"/>
      <c r="J524" s="18"/>
      <c r="K524" s="18"/>
      <c r="L524" s="18"/>
      <c r="M524" s="18"/>
      <c r="N524" s="18"/>
      <c r="O524" s="18"/>
      <c r="P524" s="18"/>
      <c r="Q524" s="18"/>
      <c r="W524" s="18"/>
      <c r="X524" s="18"/>
      <c r="Y524" s="18"/>
    </row>
    <row r="525" spans="6:25" ht="15.75" customHeight="1">
      <c r="F525" s="18"/>
      <c r="G525" s="18"/>
      <c r="I525" s="18"/>
      <c r="J525" s="18"/>
      <c r="K525" s="18"/>
      <c r="L525" s="18"/>
      <c r="M525" s="18"/>
      <c r="N525" s="18"/>
      <c r="O525" s="18"/>
      <c r="P525" s="18"/>
      <c r="Q525" s="18"/>
      <c r="W525" s="18"/>
      <c r="X525" s="18"/>
      <c r="Y525" s="18"/>
    </row>
    <row r="526" spans="6:25" ht="15.75" customHeight="1">
      <c r="F526" s="18"/>
      <c r="G526" s="18"/>
      <c r="I526" s="18"/>
      <c r="J526" s="18"/>
      <c r="K526" s="18"/>
      <c r="L526" s="18"/>
      <c r="M526" s="18"/>
      <c r="N526" s="18"/>
      <c r="O526" s="18"/>
      <c r="P526" s="18"/>
      <c r="Q526" s="18"/>
      <c r="W526" s="18"/>
      <c r="X526" s="18"/>
      <c r="Y526" s="18"/>
    </row>
    <row r="527" spans="6:25" ht="15.75" customHeight="1">
      <c r="F527" s="18"/>
      <c r="G527" s="18"/>
      <c r="I527" s="18"/>
      <c r="J527" s="18"/>
      <c r="K527" s="18"/>
      <c r="L527" s="18"/>
      <c r="M527" s="18"/>
      <c r="N527" s="18"/>
      <c r="O527" s="18"/>
      <c r="P527" s="18"/>
      <c r="Q527" s="18"/>
      <c r="W527" s="18"/>
      <c r="X527" s="18"/>
      <c r="Y527" s="18"/>
    </row>
    <row r="528" spans="6:25" ht="15.75" customHeight="1">
      <c r="F528" s="18"/>
      <c r="G528" s="18"/>
      <c r="I528" s="18"/>
      <c r="J528" s="18"/>
      <c r="K528" s="18"/>
      <c r="L528" s="18"/>
      <c r="M528" s="18"/>
      <c r="N528" s="18"/>
      <c r="O528" s="18"/>
      <c r="P528" s="18"/>
      <c r="Q528" s="18"/>
      <c r="W528" s="18"/>
      <c r="X528" s="18"/>
      <c r="Y528" s="18"/>
    </row>
    <row r="529" spans="6:25" ht="15.75" customHeight="1">
      <c r="F529" s="18"/>
      <c r="G529" s="18"/>
      <c r="I529" s="18"/>
      <c r="J529" s="18"/>
      <c r="K529" s="18"/>
      <c r="L529" s="18"/>
      <c r="M529" s="18"/>
      <c r="N529" s="18"/>
      <c r="O529" s="18"/>
      <c r="P529" s="18"/>
      <c r="Q529" s="18"/>
      <c r="W529" s="18"/>
      <c r="X529" s="18"/>
      <c r="Y529" s="18"/>
    </row>
    <row r="530" spans="6:25" ht="15.75" customHeight="1">
      <c r="F530" s="18"/>
      <c r="G530" s="18"/>
      <c r="I530" s="18"/>
      <c r="J530" s="18"/>
      <c r="K530" s="18"/>
      <c r="L530" s="18"/>
      <c r="M530" s="18"/>
      <c r="N530" s="18"/>
      <c r="O530" s="18"/>
      <c r="P530" s="18"/>
      <c r="Q530" s="18"/>
      <c r="W530" s="18"/>
      <c r="X530" s="18"/>
      <c r="Y530" s="18"/>
    </row>
    <row r="531" spans="6:25" ht="15.75" customHeight="1">
      <c r="F531" s="18"/>
      <c r="G531" s="18"/>
      <c r="I531" s="18"/>
      <c r="J531" s="18"/>
      <c r="K531" s="18"/>
      <c r="L531" s="18"/>
      <c r="M531" s="18"/>
      <c r="N531" s="18"/>
      <c r="O531" s="18"/>
      <c r="P531" s="18"/>
      <c r="Q531" s="18"/>
      <c r="W531" s="18"/>
      <c r="X531" s="18"/>
      <c r="Y531" s="18"/>
    </row>
    <row r="532" spans="6:25" ht="15.75" customHeight="1">
      <c r="F532" s="18"/>
      <c r="G532" s="18"/>
      <c r="I532" s="18"/>
      <c r="J532" s="18"/>
      <c r="K532" s="18"/>
      <c r="L532" s="18"/>
      <c r="M532" s="18"/>
      <c r="N532" s="18"/>
      <c r="O532" s="18"/>
      <c r="P532" s="18"/>
      <c r="Q532" s="18"/>
      <c r="W532" s="18"/>
      <c r="X532" s="18"/>
      <c r="Y532" s="18"/>
    </row>
    <row r="533" spans="6:25" ht="15.75" customHeight="1">
      <c r="F533" s="18"/>
      <c r="G533" s="18"/>
      <c r="I533" s="18"/>
      <c r="J533" s="18"/>
      <c r="K533" s="18"/>
      <c r="L533" s="18"/>
      <c r="M533" s="18"/>
      <c r="N533" s="18"/>
      <c r="O533" s="18"/>
      <c r="P533" s="18"/>
      <c r="Q533" s="18"/>
      <c r="W533" s="18"/>
      <c r="X533" s="18"/>
      <c r="Y533" s="18"/>
    </row>
    <row r="534" spans="6:25" ht="15.75" customHeight="1">
      <c r="F534" s="18"/>
      <c r="G534" s="18"/>
      <c r="I534" s="18"/>
      <c r="J534" s="18"/>
      <c r="K534" s="18"/>
      <c r="L534" s="18"/>
      <c r="M534" s="18"/>
      <c r="N534" s="18"/>
      <c r="O534" s="18"/>
      <c r="P534" s="18"/>
      <c r="Q534" s="18"/>
      <c r="W534" s="18"/>
      <c r="X534" s="18"/>
      <c r="Y534" s="18"/>
    </row>
    <row r="535" spans="6:25" ht="15.75" customHeight="1">
      <c r="F535" s="18"/>
      <c r="G535" s="18"/>
      <c r="I535" s="18"/>
      <c r="J535" s="18"/>
      <c r="K535" s="18"/>
      <c r="L535" s="18"/>
      <c r="M535" s="18"/>
      <c r="N535" s="18"/>
      <c r="O535" s="18"/>
      <c r="P535" s="18"/>
      <c r="Q535" s="18"/>
      <c r="W535" s="18"/>
      <c r="X535" s="18"/>
      <c r="Y535" s="18"/>
    </row>
    <row r="536" spans="6:25" ht="15.75" customHeight="1">
      <c r="F536" s="18"/>
      <c r="G536" s="18"/>
      <c r="I536" s="18"/>
      <c r="J536" s="18"/>
      <c r="K536" s="18"/>
      <c r="L536" s="18"/>
      <c r="M536" s="18"/>
      <c r="N536" s="18"/>
      <c r="O536" s="18"/>
      <c r="P536" s="18"/>
      <c r="Q536" s="18"/>
      <c r="W536" s="18"/>
      <c r="X536" s="18"/>
      <c r="Y536" s="18"/>
    </row>
    <row r="537" spans="6:25" ht="15.75" customHeight="1">
      <c r="F537" s="18"/>
      <c r="G537" s="18"/>
      <c r="I537" s="18"/>
      <c r="J537" s="18"/>
      <c r="K537" s="18"/>
      <c r="L537" s="18"/>
      <c r="M537" s="18"/>
      <c r="N537" s="18"/>
      <c r="O537" s="18"/>
      <c r="P537" s="18"/>
      <c r="Q537" s="18"/>
      <c r="W537" s="18"/>
      <c r="X537" s="18"/>
      <c r="Y537" s="18"/>
    </row>
    <row r="538" spans="6:25" ht="15.75" customHeight="1">
      <c r="F538" s="18"/>
      <c r="G538" s="18"/>
      <c r="I538" s="18"/>
      <c r="J538" s="18"/>
      <c r="K538" s="18"/>
      <c r="L538" s="18"/>
      <c r="M538" s="18"/>
      <c r="N538" s="18"/>
      <c r="O538" s="18"/>
      <c r="P538" s="18"/>
      <c r="Q538" s="18"/>
      <c r="W538" s="18"/>
      <c r="X538" s="18"/>
      <c r="Y538" s="18"/>
    </row>
    <row r="539" spans="6:25" ht="15.75" customHeight="1">
      <c r="F539" s="18"/>
      <c r="G539" s="18"/>
      <c r="I539" s="18"/>
      <c r="J539" s="18"/>
      <c r="K539" s="18"/>
      <c r="L539" s="18"/>
      <c r="M539" s="18"/>
      <c r="N539" s="18"/>
      <c r="O539" s="18"/>
      <c r="P539" s="18"/>
      <c r="Q539" s="18"/>
      <c r="W539" s="18"/>
      <c r="X539" s="18"/>
      <c r="Y539" s="18"/>
    </row>
    <row r="540" spans="6:25" ht="15.75" customHeight="1">
      <c r="F540" s="18"/>
      <c r="G540" s="18"/>
      <c r="I540" s="18"/>
      <c r="J540" s="18"/>
      <c r="K540" s="18"/>
      <c r="L540" s="18"/>
      <c r="M540" s="18"/>
      <c r="N540" s="18"/>
      <c r="O540" s="18"/>
      <c r="P540" s="18"/>
      <c r="Q540" s="18"/>
      <c r="W540" s="18"/>
      <c r="X540" s="18"/>
      <c r="Y540" s="18"/>
    </row>
    <row r="541" spans="6:25" ht="15.75" customHeight="1">
      <c r="F541" s="18"/>
      <c r="G541" s="18"/>
      <c r="I541" s="18"/>
      <c r="J541" s="18"/>
      <c r="K541" s="18"/>
      <c r="L541" s="18"/>
      <c r="M541" s="18"/>
      <c r="N541" s="18"/>
      <c r="O541" s="18"/>
      <c r="P541" s="18"/>
      <c r="Q541" s="18"/>
      <c r="W541" s="18"/>
      <c r="X541" s="18"/>
      <c r="Y541" s="18"/>
    </row>
    <row r="542" spans="6:25" ht="15.75" customHeight="1">
      <c r="F542" s="18"/>
      <c r="G542" s="18"/>
      <c r="I542" s="18"/>
      <c r="J542" s="18"/>
      <c r="K542" s="18"/>
      <c r="L542" s="18"/>
      <c r="M542" s="18"/>
      <c r="N542" s="18"/>
      <c r="O542" s="18"/>
      <c r="P542" s="18"/>
      <c r="Q542" s="18"/>
      <c r="W542" s="18"/>
      <c r="X542" s="18"/>
      <c r="Y542" s="18"/>
    </row>
    <row r="543" spans="6:25" ht="15.75" customHeight="1">
      <c r="F543" s="18"/>
      <c r="G543" s="18"/>
      <c r="I543" s="18"/>
      <c r="J543" s="18"/>
      <c r="K543" s="18"/>
      <c r="L543" s="18"/>
      <c r="M543" s="18"/>
      <c r="N543" s="18"/>
      <c r="O543" s="18"/>
      <c r="P543" s="18"/>
      <c r="Q543" s="18"/>
      <c r="W543" s="18"/>
      <c r="X543" s="18"/>
      <c r="Y543" s="18"/>
    </row>
    <row r="544" spans="6:25" ht="15.75" customHeight="1">
      <c r="F544" s="18"/>
      <c r="G544" s="18"/>
      <c r="I544" s="18"/>
      <c r="J544" s="18"/>
      <c r="K544" s="18"/>
      <c r="L544" s="18"/>
      <c r="M544" s="18"/>
      <c r="N544" s="18"/>
      <c r="O544" s="18"/>
      <c r="P544" s="18"/>
      <c r="Q544" s="18"/>
      <c r="W544" s="18"/>
      <c r="X544" s="18"/>
      <c r="Y544" s="18"/>
    </row>
    <row r="545" spans="6:25" ht="15.75" customHeight="1">
      <c r="F545" s="18"/>
      <c r="G545" s="18"/>
      <c r="I545" s="18"/>
      <c r="J545" s="18"/>
      <c r="K545" s="18"/>
      <c r="L545" s="18"/>
      <c r="M545" s="18"/>
      <c r="N545" s="18"/>
      <c r="O545" s="18"/>
      <c r="P545" s="18"/>
      <c r="Q545" s="18"/>
      <c r="W545" s="18"/>
      <c r="X545" s="18"/>
      <c r="Y545" s="18"/>
    </row>
    <row r="546" spans="6:25" ht="15.75" customHeight="1">
      <c r="F546" s="18"/>
      <c r="G546" s="18"/>
      <c r="I546" s="18"/>
      <c r="J546" s="18"/>
      <c r="K546" s="18"/>
      <c r="L546" s="18"/>
      <c r="M546" s="18"/>
      <c r="N546" s="18"/>
      <c r="O546" s="18"/>
      <c r="P546" s="18"/>
      <c r="Q546" s="18"/>
      <c r="W546" s="18"/>
      <c r="X546" s="18"/>
      <c r="Y546" s="18"/>
    </row>
    <row r="547" spans="6:25" ht="15.75" customHeight="1">
      <c r="F547" s="18"/>
      <c r="G547" s="18"/>
      <c r="I547" s="18"/>
      <c r="J547" s="18"/>
      <c r="K547" s="18"/>
      <c r="L547" s="18"/>
      <c r="M547" s="18"/>
      <c r="N547" s="18"/>
      <c r="O547" s="18"/>
      <c r="P547" s="18"/>
      <c r="Q547" s="18"/>
      <c r="W547" s="18"/>
      <c r="X547" s="18"/>
      <c r="Y547" s="18"/>
    </row>
    <row r="548" spans="6:25" ht="15.75" customHeight="1">
      <c r="F548" s="18"/>
      <c r="G548" s="18"/>
      <c r="I548" s="18"/>
      <c r="J548" s="18"/>
      <c r="K548" s="18"/>
      <c r="L548" s="18"/>
      <c r="M548" s="18"/>
      <c r="N548" s="18"/>
      <c r="O548" s="18"/>
      <c r="P548" s="18"/>
      <c r="Q548" s="18"/>
      <c r="W548" s="18"/>
      <c r="X548" s="18"/>
      <c r="Y548" s="18"/>
    </row>
    <row r="549" spans="6:25" ht="15.75" customHeight="1">
      <c r="F549" s="18"/>
      <c r="G549" s="18"/>
      <c r="I549" s="18"/>
      <c r="J549" s="18"/>
      <c r="K549" s="18"/>
      <c r="L549" s="18"/>
      <c r="M549" s="18"/>
      <c r="N549" s="18"/>
      <c r="O549" s="18"/>
      <c r="P549" s="18"/>
      <c r="Q549" s="18"/>
      <c r="W549" s="18"/>
      <c r="X549" s="18"/>
      <c r="Y549" s="18"/>
    </row>
    <row r="550" spans="6:25" ht="15.75" customHeight="1">
      <c r="F550" s="18"/>
      <c r="G550" s="18"/>
      <c r="I550" s="18"/>
      <c r="J550" s="18"/>
      <c r="K550" s="18"/>
      <c r="L550" s="18"/>
      <c r="M550" s="18"/>
      <c r="N550" s="18"/>
      <c r="O550" s="18"/>
      <c r="P550" s="18"/>
      <c r="Q550" s="18"/>
      <c r="W550" s="18"/>
      <c r="X550" s="18"/>
      <c r="Y550" s="18"/>
    </row>
    <row r="551" spans="6:25" ht="15.75" customHeight="1">
      <c r="F551" s="18"/>
      <c r="G551" s="18"/>
      <c r="I551" s="18"/>
      <c r="J551" s="18"/>
      <c r="K551" s="18"/>
      <c r="L551" s="18"/>
      <c r="M551" s="18"/>
      <c r="N551" s="18"/>
      <c r="O551" s="18"/>
      <c r="P551" s="18"/>
      <c r="Q551" s="18"/>
      <c r="W551" s="18"/>
      <c r="X551" s="18"/>
      <c r="Y551" s="18"/>
    </row>
    <row r="552" spans="6:25" ht="15.75" customHeight="1">
      <c r="F552" s="18"/>
      <c r="G552" s="18"/>
      <c r="I552" s="18"/>
      <c r="J552" s="18"/>
      <c r="K552" s="18"/>
      <c r="L552" s="18"/>
      <c r="M552" s="18"/>
      <c r="N552" s="18"/>
      <c r="O552" s="18"/>
      <c r="P552" s="18"/>
      <c r="Q552" s="18"/>
      <c r="W552" s="18"/>
      <c r="X552" s="18"/>
      <c r="Y552" s="18"/>
    </row>
    <row r="553" spans="6:25" ht="15.75" customHeight="1">
      <c r="F553" s="18"/>
      <c r="G553" s="18"/>
      <c r="I553" s="18"/>
      <c r="J553" s="18"/>
      <c r="K553" s="18"/>
      <c r="L553" s="18"/>
      <c r="M553" s="18"/>
      <c r="N553" s="18"/>
      <c r="O553" s="18"/>
      <c r="P553" s="18"/>
      <c r="Q553" s="18"/>
      <c r="W553" s="18"/>
      <c r="X553" s="18"/>
      <c r="Y553" s="18"/>
    </row>
    <row r="554" spans="6:25" ht="15.75" customHeight="1">
      <c r="F554" s="18"/>
      <c r="G554" s="18"/>
      <c r="I554" s="18"/>
      <c r="J554" s="18"/>
      <c r="K554" s="18"/>
      <c r="L554" s="18"/>
      <c r="M554" s="18"/>
      <c r="N554" s="18"/>
      <c r="O554" s="18"/>
      <c r="P554" s="18"/>
      <c r="Q554" s="18"/>
      <c r="W554" s="18"/>
      <c r="X554" s="18"/>
      <c r="Y554" s="18"/>
    </row>
    <row r="555" spans="6:25" ht="15.75" customHeight="1">
      <c r="F555" s="18"/>
      <c r="G555" s="18"/>
      <c r="I555" s="18"/>
      <c r="J555" s="18"/>
      <c r="K555" s="18"/>
      <c r="L555" s="18"/>
      <c r="M555" s="18"/>
      <c r="N555" s="18"/>
      <c r="O555" s="18"/>
      <c r="P555" s="18"/>
      <c r="Q555" s="18"/>
      <c r="W555" s="18"/>
      <c r="X555" s="18"/>
      <c r="Y555" s="18"/>
    </row>
    <row r="556" spans="6:25" ht="15.75" customHeight="1">
      <c r="F556" s="18"/>
      <c r="G556" s="18"/>
      <c r="I556" s="18"/>
      <c r="J556" s="18"/>
      <c r="K556" s="18"/>
      <c r="L556" s="18"/>
      <c r="M556" s="18"/>
      <c r="N556" s="18"/>
      <c r="O556" s="18"/>
      <c r="P556" s="18"/>
      <c r="Q556" s="18"/>
      <c r="W556" s="18"/>
      <c r="X556" s="18"/>
      <c r="Y556" s="18"/>
    </row>
    <row r="557" spans="6:25" ht="15.75" customHeight="1">
      <c r="F557" s="18"/>
      <c r="G557" s="18"/>
      <c r="I557" s="18"/>
      <c r="J557" s="18"/>
      <c r="K557" s="18"/>
      <c r="L557" s="18"/>
      <c r="M557" s="18"/>
      <c r="N557" s="18"/>
      <c r="O557" s="18"/>
      <c r="P557" s="18"/>
      <c r="Q557" s="18"/>
      <c r="W557" s="18"/>
      <c r="X557" s="18"/>
      <c r="Y557" s="18"/>
    </row>
    <row r="558" spans="6:25" ht="15.75" customHeight="1">
      <c r="F558" s="18"/>
      <c r="G558" s="18"/>
      <c r="I558" s="18"/>
      <c r="J558" s="18"/>
      <c r="K558" s="18"/>
      <c r="L558" s="18"/>
      <c r="M558" s="18"/>
      <c r="N558" s="18"/>
      <c r="O558" s="18"/>
      <c r="P558" s="18"/>
      <c r="Q558" s="18"/>
      <c r="W558" s="18"/>
      <c r="X558" s="18"/>
      <c r="Y558" s="18"/>
    </row>
    <row r="559" spans="6:25" ht="15.75" customHeight="1">
      <c r="F559" s="18"/>
      <c r="G559" s="18"/>
      <c r="I559" s="18"/>
      <c r="J559" s="18"/>
      <c r="K559" s="18"/>
      <c r="L559" s="18"/>
      <c r="M559" s="18"/>
      <c r="N559" s="18"/>
      <c r="O559" s="18"/>
      <c r="P559" s="18"/>
      <c r="Q559" s="18"/>
      <c r="W559" s="18"/>
      <c r="X559" s="18"/>
      <c r="Y559" s="18"/>
    </row>
    <row r="560" spans="6:25" ht="15.75" customHeight="1">
      <c r="F560" s="18"/>
      <c r="G560" s="18"/>
      <c r="I560" s="18"/>
      <c r="J560" s="18"/>
      <c r="K560" s="18"/>
      <c r="L560" s="18"/>
      <c r="M560" s="18"/>
      <c r="N560" s="18"/>
      <c r="O560" s="18"/>
      <c r="P560" s="18"/>
      <c r="Q560" s="18"/>
      <c r="W560" s="18"/>
      <c r="X560" s="18"/>
      <c r="Y560" s="18"/>
    </row>
    <row r="561" spans="6:25" ht="15.75" customHeight="1">
      <c r="F561" s="18"/>
      <c r="G561" s="18"/>
      <c r="I561" s="18"/>
      <c r="J561" s="18"/>
      <c r="K561" s="18"/>
      <c r="L561" s="18"/>
      <c r="M561" s="18"/>
      <c r="N561" s="18"/>
      <c r="O561" s="18"/>
      <c r="P561" s="18"/>
      <c r="Q561" s="18"/>
      <c r="W561" s="18"/>
      <c r="X561" s="18"/>
      <c r="Y561" s="18"/>
    </row>
    <row r="562" spans="6:25" ht="15.75" customHeight="1">
      <c r="F562" s="18"/>
      <c r="G562" s="18"/>
      <c r="I562" s="18"/>
      <c r="J562" s="18"/>
      <c r="K562" s="18"/>
      <c r="L562" s="18"/>
      <c r="M562" s="18"/>
      <c r="N562" s="18"/>
      <c r="O562" s="18"/>
      <c r="P562" s="18"/>
      <c r="Q562" s="18"/>
      <c r="W562" s="18"/>
      <c r="X562" s="18"/>
      <c r="Y562" s="18"/>
    </row>
    <row r="563" spans="6:25" ht="15.75" customHeight="1">
      <c r="F563" s="18"/>
      <c r="G563" s="18"/>
      <c r="I563" s="18"/>
      <c r="J563" s="18"/>
      <c r="K563" s="18"/>
      <c r="L563" s="18"/>
      <c r="M563" s="18"/>
      <c r="N563" s="18"/>
      <c r="O563" s="18"/>
      <c r="P563" s="18"/>
      <c r="Q563" s="18"/>
      <c r="W563" s="18"/>
      <c r="X563" s="18"/>
      <c r="Y563" s="18"/>
    </row>
    <row r="564" spans="6:25" ht="15.75" customHeight="1">
      <c r="F564" s="18"/>
      <c r="G564" s="18"/>
      <c r="I564" s="18"/>
      <c r="J564" s="18"/>
      <c r="K564" s="18"/>
      <c r="L564" s="18"/>
      <c r="M564" s="18"/>
      <c r="N564" s="18"/>
      <c r="O564" s="18"/>
      <c r="P564" s="18"/>
      <c r="Q564" s="18"/>
      <c r="W564" s="18"/>
      <c r="X564" s="18"/>
      <c r="Y564" s="18"/>
    </row>
    <row r="565" spans="6:25" ht="15.75" customHeight="1">
      <c r="F565" s="18"/>
      <c r="G565" s="18"/>
      <c r="I565" s="18"/>
      <c r="J565" s="18"/>
      <c r="K565" s="18"/>
      <c r="L565" s="18"/>
      <c r="M565" s="18"/>
      <c r="N565" s="18"/>
      <c r="O565" s="18"/>
      <c r="P565" s="18"/>
      <c r="Q565" s="18"/>
      <c r="W565" s="18"/>
      <c r="X565" s="18"/>
      <c r="Y565" s="18"/>
    </row>
    <row r="566" spans="6:25" ht="15.75" customHeight="1">
      <c r="F566" s="18"/>
      <c r="G566" s="18"/>
      <c r="I566" s="18"/>
      <c r="J566" s="18"/>
      <c r="K566" s="18"/>
      <c r="L566" s="18"/>
      <c r="M566" s="18"/>
      <c r="N566" s="18"/>
      <c r="O566" s="18"/>
      <c r="P566" s="18"/>
      <c r="Q566" s="18"/>
      <c r="W566" s="18"/>
      <c r="X566" s="18"/>
      <c r="Y566" s="18"/>
    </row>
    <row r="567" spans="6:25" ht="15.75" customHeight="1">
      <c r="F567" s="18"/>
      <c r="G567" s="18"/>
      <c r="I567" s="18"/>
      <c r="J567" s="18"/>
      <c r="K567" s="18"/>
      <c r="L567" s="18"/>
      <c r="M567" s="18"/>
      <c r="N567" s="18"/>
      <c r="O567" s="18"/>
      <c r="P567" s="18"/>
      <c r="Q567" s="18"/>
      <c r="W567" s="18"/>
      <c r="X567" s="18"/>
      <c r="Y567" s="18"/>
    </row>
    <row r="568" spans="6:25" ht="15.75" customHeight="1">
      <c r="F568" s="18"/>
      <c r="G568" s="18"/>
      <c r="I568" s="18"/>
      <c r="J568" s="18"/>
      <c r="K568" s="18"/>
      <c r="L568" s="18"/>
      <c r="M568" s="18"/>
      <c r="N568" s="18"/>
      <c r="O568" s="18"/>
      <c r="P568" s="18"/>
      <c r="Q568" s="18"/>
      <c r="W568" s="18"/>
      <c r="X568" s="18"/>
      <c r="Y568" s="18"/>
    </row>
    <row r="569" spans="6:25" ht="15.75" customHeight="1">
      <c r="F569" s="18"/>
      <c r="G569" s="18"/>
      <c r="I569" s="18"/>
      <c r="J569" s="18"/>
      <c r="K569" s="18"/>
      <c r="L569" s="18"/>
      <c r="M569" s="18"/>
      <c r="N569" s="18"/>
      <c r="O569" s="18"/>
      <c r="P569" s="18"/>
      <c r="Q569" s="18"/>
      <c r="W569" s="18"/>
      <c r="X569" s="18"/>
      <c r="Y569" s="18"/>
    </row>
    <row r="570" spans="6:25" ht="15.75" customHeight="1">
      <c r="F570" s="18"/>
      <c r="G570" s="18"/>
      <c r="I570" s="18"/>
      <c r="J570" s="18"/>
      <c r="K570" s="18"/>
      <c r="L570" s="18"/>
      <c r="M570" s="18"/>
      <c r="N570" s="18"/>
      <c r="O570" s="18"/>
      <c r="P570" s="18"/>
      <c r="Q570" s="18"/>
      <c r="W570" s="18"/>
      <c r="X570" s="18"/>
      <c r="Y570" s="18"/>
    </row>
    <row r="571" spans="6:25" ht="15.75" customHeight="1">
      <c r="F571" s="18"/>
      <c r="G571" s="18"/>
      <c r="I571" s="18"/>
      <c r="J571" s="18"/>
      <c r="K571" s="18"/>
      <c r="L571" s="18"/>
      <c r="M571" s="18"/>
      <c r="N571" s="18"/>
      <c r="O571" s="18"/>
      <c r="P571" s="18"/>
      <c r="Q571" s="18"/>
      <c r="W571" s="18"/>
      <c r="X571" s="18"/>
      <c r="Y571" s="18"/>
    </row>
    <row r="572" spans="6:25" ht="15.75" customHeight="1">
      <c r="F572" s="18"/>
      <c r="G572" s="18"/>
      <c r="I572" s="18"/>
      <c r="J572" s="18"/>
      <c r="K572" s="18"/>
      <c r="L572" s="18"/>
      <c r="M572" s="18"/>
      <c r="N572" s="18"/>
      <c r="O572" s="18"/>
      <c r="P572" s="18"/>
      <c r="Q572" s="18"/>
      <c r="W572" s="18"/>
      <c r="X572" s="18"/>
      <c r="Y572" s="18"/>
    </row>
    <row r="573" spans="6:25" ht="15.75" customHeight="1">
      <c r="F573" s="18"/>
      <c r="G573" s="18"/>
      <c r="I573" s="18"/>
      <c r="J573" s="18"/>
      <c r="K573" s="18"/>
      <c r="L573" s="18"/>
      <c r="M573" s="18"/>
      <c r="N573" s="18"/>
      <c r="O573" s="18"/>
      <c r="P573" s="18"/>
      <c r="Q573" s="18"/>
      <c r="W573" s="18"/>
      <c r="X573" s="18"/>
      <c r="Y573" s="18"/>
    </row>
    <row r="574" spans="6:25" ht="15.75" customHeight="1">
      <c r="F574" s="18"/>
      <c r="G574" s="18"/>
      <c r="I574" s="18"/>
      <c r="J574" s="18"/>
      <c r="K574" s="18"/>
      <c r="L574" s="18"/>
      <c r="M574" s="18"/>
      <c r="N574" s="18"/>
      <c r="O574" s="18"/>
      <c r="P574" s="18"/>
      <c r="Q574" s="18"/>
      <c r="W574" s="18"/>
      <c r="X574" s="18"/>
      <c r="Y574" s="18"/>
    </row>
    <row r="575" spans="6:25" ht="15.75" customHeight="1">
      <c r="F575" s="18"/>
      <c r="G575" s="18"/>
      <c r="I575" s="18"/>
      <c r="J575" s="18"/>
      <c r="K575" s="18"/>
      <c r="L575" s="18"/>
      <c r="M575" s="18"/>
      <c r="N575" s="18"/>
      <c r="O575" s="18"/>
      <c r="P575" s="18"/>
      <c r="Q575" s="18"/>
      <c r="W575" s="18"/>
      <c r="X575" s="18"/>
      <c r="Y575" s="18"/>
    </row>
    <row r="576" spans="6:25" ht="15.75" customHeight="1">
      <c r="F576" s="18"/>
      <c r="G576" s="18"/>
      <c r="I576" s="18"/>
      <c r="J576" s="18"/>
      <c r="K576" s="18"/>
      <c r="L576" s="18"/>
      <c r="M576" s="18"/>
      <c r="N576" s="18"/>
      <c r="O576" s="18"/>
      <c r="P576" s="18"/>
      <c r="Q576" s="18"/>
      <c r="W576" s="18"/>
      <c r="X576" s="18"/>
      <c r="Y576" s="18"/>
    </row>
    <row r="577" spans="6:25" ht="15.75" customHeight="1">
      <c r="F577" s="18"/>
      <c r="G577" s="18"/>
      <c r="I577" s="18"/>
      <c r="J577" s="18"/>
      <c r="K577" s="18"/>
      <c r="L577" s="18"/>
      <c r="M577" s="18"/>
      <c r="N577" s="18"/>
      <c r="O577" s="18"/>
      <c r="P577" s="18"/>
      <c r="Q577" s="18"/>
      <c r="W577" s="18"/>
      <c r="X577" s="18"/>
      <c r="Y577" s="18"/>
    </row>
    <row r="578" spans="6:25" ht="15.75" customHeight="1">
      <c r="F578" s="18"/>
      <c r="G578" s="18"/>
      <c r="I578" s="18"/>
      <c r="J578" s="18"/>
      <c r="K578" s="18"/>
      <c r="L578" s="18"/>
      <c r="M578" s="18"/>
      <c r="N578" s="18"/>
      <c r="O578" s="18"/>
      <c r="P578" s="18"/>
      <c r="Q578" s="18"/>
      <c r="W578" s="18"/>
      <c r="X578" s="18"/>
      <c r="Y578" s="18"/>
    </row>
    <row r="579" spans="6:25" ht="15.75" customHeight="1">
      <c r="F579" s="18"/>
      <c r="G579" s="18"/>
      <c r="I579" s="18"/>
      <c r="J579" s="18"/>
      <c r="K579" s="18"/>
      <c r="L579" s="18"/>
      <c r="M579" s="18"/>
      <c r="N579" s="18"/>
      <c r="O579" s="18"/>
      <c r="P579" s="18"/>
      <c r="Q579" s="18"/>
      <c r="W579" s="18"/>
      <c r="X579" s="18"/>
      <c r="Y579" s="18"/>
    </row>
    <row r="580" spans="6:25" ht="15.75" customHeight="1">
      <c r="F580" s="18"/>
      <c r="G580" s="18"/>
      <c r="I580" s="18"/>
      <c r="J580" s="18"/>
      <c r="K580" s="18"/>
      <c r="L580" s="18"/>
      <c r="M580" s="18"/>
      <c r="N580" s="18"/>
      <c r="O580" s="18"/>
      <c r="P580" s="18"/>
      <c r="Q580" s="18"/>
      <c r="W580" s="18"/>
      <c r="X580" s="18"/>
      <c r="Y580" s="18"/>
    </row>
    <row r="581" spans="6:25" ht="15.75" customHeight="1">
      <c r="F581" s="18"/>
      <c r="G581" s="18"/>
      <c r="I581" s="18"/>
      <c r="J581" s="18"/>
      <c r="K581" s="18"/>
      <c r="L581" s="18"/>
      <c r="M581" s="18"/>
      <c r="N581" s="18"/>
      <c r="O581" s="18"/>
      <c r="P581" s="18"/>
      <c r="Q581" s="18"/>
      <c r="W581" s="18"/>
      <c r="X581" s="18"/>
      <c r="Y581" s="18"/>
    </row>
    <row r="582" spans="6:25" ht="15.75" customHeight="1">
      <c r="F582" s="18"/>
      <c r="G582" s="18"/>
      <c r="I582" s="18"/>
      <c r="J582" s="18"/>
      <c r="K582" s="18"/>
      <c r="L582" s="18"/>
      <c r="M582" s="18"/>
      <c r="N582" s="18"/>
      <c r="O582" s="18"/>
      <c r="P582" s="18"/>
      <c r="Q582" s="18"/>
      <c r="W582" s="18"/>
      <c r="X582" s="18"/>
      <c r="Y582" s="18"/>
    </row>
    <row r="583" spans="6:25" ht="15.75" customHeight="1">
      <c r="F583" s="18"/>
      <c r="G583" s="18"/>
      <c r="I583" s="18"/>
      <c r="J583" s="18"/>
      <c r="K583" s="18"/>
      <c r="L583" s="18"/>
      <c r="M583" s="18"/>
      <c r="N583" s="18"/>
      <c r="O583" s="18"/>
      <c r="P583" s="18"/>
      <c r="Q583" s="18"/>
      <c r="W583" s="18"/>
      <c r="X583" s="18"/>
      <c r="Y583" s="18"/>
    </row>
    <row r="584" spans="6:25" ht="15.75" customHeight="1">
      <c r="F584" s="18"/>
      <c r="G584" s="18"/>
      <c r="I584" s="18"/>
      <c r="J584" s="18"/>
      <c r="K584" s="18"/>
      <c r="L584" s="18"/>
      <c r="M584" s="18"/>
      <c r="N584" s="18"/>
      <c r="O584" s="18"/>
      <c r="P584" s="18"/>
      <c r="Q584" s="18"/>
      <c r="W584" s="18"/>
      <c r="X584" s="18"/>
      <c r="Y584" s="18"/>
    </row>
    <row r="585" spans="6:25" ht="15.75" customHeight="1">
      <c r="F585" s="18"/>
      <c r="G585" s="18"/>
      <c r="I585" s="18"/>
      <c r="J585" s="18"/>
      <c r="K585" s="18"/>
      <c r="L585" s="18"/>
      <c r="M585" s="18"/>
      <c r="N585" s="18"/>
      <c r="O585" s="18"/>
      <c r="P585" s="18"/>
      <c r="Q585" s="18"/>
      <c r="W585" s="18"/>
      <c r="X585" s="18"/>
      <c r="Y585" s="18"/>
    </row>
    <row r="586" spans="6:25" ht="15.75" customHeight="1">
      <c r="F586" s="18"/>
      <c r="G586" s="18"/>
      <c r="I586" s="18"/>
      <c r="J586" s="18"/>
      <c r="K586" s="18"/>
      <c r="L586" s="18"/>
      <c r="M586" s="18"/>
      <c r="N586" s="18"/>
      <c r="O586" s="18"/>
      <c r="P586" s="18"/>
      <c r="Q586" s="18"/>
      <c r="W586" s="18"/>
      <c r="X586" s="18"/>
      <c r="Y586" s="18"/>
    </row>
    <row r="587" spans="6:25" ht="15.75" customHeight="1">
      <c r="F587" s="18"/>
      <c r="G587" s="18"/>
      <c r="I587" s="18"/>
      <c r="J587" s="18"/>
      <c r="K587" s="18"/>
      <c r="L587" s="18"/>
      <c r="M587" s="18"/>
      <c r="N587" s="18"/>
      <c r="O587" s="18"/>
      <c r="P587" s="18"/>
      <c r="Q587" s="18"/>
      <c r="W587" s="18"/>
      <c r="X587" s="18"/>
      <c r="Y587" s="18"/>
    </row>
    <row r="588" spans="6:25" ht="15.75" customHeight="1">
      <c r="F588" s="18"/>
      <c r="G588" s="18"/>
      <c r="I588" s="18"/>
      <c r="J588" s="18"/>
      <c r="K588" s="18"/>
      <c r="L588" s="18"/>
      <c r="M588" s="18"/>
      <c r="N588" s="18"/>
      <c r="O588" s="18"/>
      <c r="P588" s="18"/>
      <c r="Q588" s="18"/>
      <c r="W588" s="18"/>
      <c r="X588" s="18"/>
      <c r="Y588" s="18"/>
    </row>
    <row r="589" spans="6:25" ht="15.75" customHeight="1">
      <c r="F589" s="18"/>
      <c r="G589" s="18"/>
      <c r="I589" s="18"/>
      <c r="J589" s="18"/>
      <c r="K589" s="18"/>
      <c r="L589" s="18"/>
      <c r="M589" s="18"/>
      <c r="N589" s="18"/>
      <c r="O589" s="18"/>
      <c r="P589" s="18"/>
      <c r="Q589" s="18"/>
      <c r="W589" s="18"/>
      <c r="X589" s="18"/>
      <c r="Y589" s="18"/>
    </row>
    <row r="590" spans="6:25" ht="15.75" customHeight="1">
      <c r="F590" s="18"/>
      <c r="G590" s="18"/>
      <c r="I590" s="18"/>
      <c r="J590" s="18"/>
      <c r="K590" s="18"/>
      <c r="L590" s="18"/>
      <c r="M590" s="18"/>
      <c r="N590" s="18"/>
      <c r="O590" s="18"/>
      <c r="P590" s="18"/>
      <c r="Q590" s="18"/>
      <c r="W590" s="18"/>
      <c r="X590" s="18"/>
      <c r="Y590" s="18"/>
    </row>
    <row r="591" spans="6:25" ht="15.75" customHeight="1">
      <c r="F591" s="18"/>
      <c r="G591" s="18"/>
      <c r="I591" s="18"/>
      <c r="J591" s="18"/>
      <c r="K591" s="18"/>
      <c r="L591" s="18"/>
      <c r="M591" s="18"/>
      <c r="N591" s="18"/>
      <c r="O591" s="18"/>
      <c r="P591" s="18"/>
      <c r="Q591" s="18"/>
      <c r="W591" s="18"/>
      <c r="X591" s="18"/>
      <c r="Y591" s="18"/>
    </row>
    <row r="592" spans="6:25" ht="15.75" customHeight="1">
      <c r="F592" s="18"/>
      <c r="G592" s="18"/>
      <c r="I592" s="18"/>
      <c r="J592" s="18"/>
      <c r="K592" s="18"/>
      <c r="L592" s="18"/>
      <c r="M592" s="18"/>
      <c r="N592" s="18"/>
      <c r="O592" s="18"/>
      <c r="P592" s="18"/>
      <c r="Q592" s="18"/>
      <c r="W592" s="18"/>
      <c r="X592" s="18"/>
      <c r="Y592" s="18"/>
    </row>
    <row r="593" spans="6:25" ht="15.75" customHeight="1">
      <c r="F593" s="18"/>
      <c r="G593" s="18"/>
      <c r="I593" s="18"/>
      <c r="J593" s="18"/>
      <c r="K593" s="18"/>
      <c r="L593" s="18"/>
      <c r="M593" s="18"/>
      <c r="N593" s="18"/>
      <c r="O593" s="18"/>
      <c r="P593" s="18"/>
      <c r="Q593" s="18"/>
      <c r="W593" s="18"/>
      <c r="X593" s="18"/>
      <c r="Y593" s="18"/>
    </row>
    <row r="594" spans="6:25" ht="15.75" customHeight="1">
      <c r="F594" s="18"/>
      <c r="G594" s="18"/>
      <c r="I594" s="18"/>
      <c r="J594" s="18"/>
      <c r="K594" s="18"/>
      <c r="L594" s="18"/>
      <c r="M594" s="18"/>
      <c r="N594" s="18"/>
      <c r="O594" s="18"/>
      <c r="P594" s="18"/>
      <c r="Q594" s="18"/>
      <c r="W594" s="18"/>
      <c r="X594" s="18"/>
      <c r="Y594" s="18"/>
    </row>
    <row r="595" spans="6:25" ht="15.75" customHeight="1">
      <c r="F595" s="18"/>
      <c r="G595" s="18"/>
      <c r="I595" s="18"/>
      <c r="J595" s="18"/>
      <c r="K595" s="18"/>
      <c r="L595" s="18"/>
      <c r="M595" s="18"/>
      <c r="N595" s="18"/>
      <c r="O595" s="18"/>
      <c r="P595" s="18"/>
      <c r="Q595" s="18"/>
      <c r="W595" s="18"/>
      <c r="X595" s="18"/>
      <c r="Y595" s="18"/>
    </row>
    <row r="596" spans="6:25" ht="15.75" customHeight="1">
      <c r="F596" s="18"/>
      <c r="G596" s="18"/>
      <c r="I596" s="18"/>
      <c r="J596" s="18"/>
      <c r="K596" s="18"/>
      <c r="L596" s="18"/>
      <c r="M596" s="18"/>
      <c r="N596" s="18"/>
      <c r="O596" s="18"/>
      <c r="P596" s="18"/>
      <c r="Q596" s="18"/>
      <c r="W596" s="18"/>
      <c r="X596" s="18"/>
      <c r="Y596" s="18"/>
    </row>
    <row r="597" spans="6:25" ht="15.75" customHeight="1">
      <c r="F597" s="18"/>
      <c r="G597" s="18"/>
      <c r="I597" s="18"/>
      <c r="J597" s="18"/>
      <c r="K597" s="18"/>
      <c r="L597" s="18"/>
      <c r="M597" s="18"/>
      <c r="N597" s="18"/>
      <c r="O597" s="18"/>
      <c r="P597" s="18"/>
      <c r="Q597" s="18"/>
      <c r="W597" s="18"/>
      <c r="X597" s="18"/>
      <c r="Y597" s="18"/>
    </row>
    <row r="598" spans="6:25" ht="15.75" customHeight="1">
      <c r="F598" s="18"/>
      <c r="G598" s="18"/>
      <c r="I598" s="18"/>
      <c r="J598" s="18"/>
      <c r="K598" s="18"/>
      <c r="L598" s="18"/>
      <c r="M598" s="18"/>
      <c r="N598" s="18"/>
      <c r="O598" s="18"/>
      <c r="P598" s="18"/>
      <c r="Q598" s="18"/>
      <c r="W598" s="18"/>
      <c r="X598" s="18"/>
      <c r="Y598" s="18"/>
    </row>
    <row r="599" spans="6:25" ht="15.75" customHeight="1">
      <c r="F599" s="18"/>
      <c r="G599" s="18"/>
      <c r="I599" s="18"/>
      <c r="J599" s="18"/>
      <c r="K599" s="18"/>
      <c r="L599" s="18"/>
      <c r="M599" s="18"/>
      <c r="N599" s="18"/>
      <c r="O599" s="18"/>
      <c r="P599" s="18"/>
      <c r="Q599" s="18"/>
      <c r="W599" s="18"/>
      <c r="X599" s="18"/>
      <c r="Y599" s="18"/>
    </row>
    <row r="600" spans="6:25" ht="15.75" customHeight="1">
      <c r="F600" s="18"/>
      <c r="G600" s="18"/>
      <c r="I600" s="18"/>
      <c r="J600" s="18"/>
      <c r="K600" s="18"/>
      <c r="L600" s="18"/>
      <c r="M600" s="18"/>
      <c r="N600" s="18"/>
      <c r="O600" s="18"/>
      <c r="P600" s="18"/>
      <c r="Q600" s="18"/>
      <c r="W600" s="18"/>
      <c r="X600" s="18"/>
      <c r="Y600" s="18"/>
    </row>
    <row r="601" spans="6:25" ht="15.75" customHeight="1">
      <c r="F601" s="18"/>
      <c r="G601" s="18"/>
      <c r="I601" s="18"/>
      <c r="J601" s="18"/>
      <c r="K601" s="18"/>
      <c r="L601" s="18"/>
      <c r="M601" s="18"/>
      <c r="N601" s="18"/>
      <c r="O601" s="18"/>
      <c r="P601" s="18"/>
      <c r="Q601" s="18"/>
      <c r="W601" s="18"/>
      <c r="X601" s="18"/>
      <c r="Y601" s="18"/>
    </row>
    <row r="602" spans="6:25" ht="15.75" customHeight="1">
      <c r="F602" s="18"/>
      <c r="G602" s="18"/>
      <c r="I602" s="18"/>
      <c r="J602" s="18"/>
      <c r="K602" s="18"/>
      <c r="L602" s="18"/>
      <c r="M602" s="18"/>
      <c r="N602" s="18"/>
      <c r="O602" s="18"/>
      <c r="P602" s="18"/>
      <c r="Q602" s="18"/>
      <c r="W602" s="18"/>
      <c r="X602" s="18"/>
      <c r="Y602" s="18"/>
    </row>
    <row r="603" spans="6:25" ht="15.75" customHeight="1">
      <c r="F603" s="18"/>
      <c r="G603" s="18"/>
      <c r="I603" s="18"/>
      <c r="J603" s="18"/>
      <c r="K603" s="18"/>
      <c r="L603" s="18"/>
      <c r="M603" s="18"/>
      <c r="N603" s="18"/>
      <c r="O603" s="18"/>
      <c r="P603" s="18"/>
      <c r="Q603" s="18"/>
      <c r="W603" s="18"/>
      <c r="X603" s="18"/>
      <c r="Y603" s="18"/>
    </row>
    <row r="604" spans="6:25" ht="15.75" customHeight="1">
      <c r="F604" s="18"/>
      <c r="G604" s="18"/>
      <c r="I604" s="18"/>
      <c r="J604" s="18"/>
      <c r="K604" s="18"/>
      <c r="L604" s="18"/>
      <c r="M604" s="18"/>
      <c r="N604" s="18"/>
      <c r="O604" s="18"/>
      <c r="P604" s="18"/>
      <c r="Q604" s="18"/>
      <c r="W604" s="18"/>
      <c r="X604" s="18"/>
      <c r="Y604" s="18"/>
    </row>
    <row r="605" spans="6:25" ht="15.75" customHeight="1">
      <c r="F605" s="18"/>
      <c r="G605" s="18"/>
      <c r="I605" s="18"/>
      <c r="J605" s="18"/>
      <c r="K605" s="18"/>
      <c r="L605" s="18"/>
      <c r="M605" s="18"/>
      <c r="N605" s="18"/>
      <c r="O605" s="18"/>
      <c r="P605" s="18"/>
      <c r="Q605" s="18"/>
      <c r="W605" s="18"/>
      <c r="X605" s="18"/>
      <c r="Y605" s="18"/>
    </row>
    <row r="606" spans="6:25" ht="15.75" customHeight="1">
      <c r="F606" s="18"/>
      <c r="G606" s="18"/>
      <c r="I606" s="18"/>
      <c r="J606" s="18"/>
      <c r="K606" s="18"/>
      <c r="L606" s="18"/>
      <c r="M606" s="18"/>
      <c r="N606" s="18"/>
      <c r="O606" s="18"/>
      <c r="P606" s="18"/>
      <c r="Q606" s="18"/>
      <c r="W606" s="18"/>
      <c r="X606" s="18"/>
      <c r="Y606" s="18"/>
    </row>
    <row r="607" spans="6:25" ht="15.75" customHeight="1">
      <c r="F607" s="18"/>
      <c r="G607" s="18"/>
      <c r="I607" s="18"/>
      <c r="J607" s="18"/>
      <c r="K607" s="18"/>
      <c r="L607" s="18"/>
      <c r="M607" s="18"/>
      <c r="N607" s="18"/>
      <c r="O607" s="18"/>
      <c r="P607" s="18"/>
      <c r="Q607" s="18"/>
      <c r="W607" s="18"/>
      <c r="X607" s="18"/>
      <c r="Y607" s="18"/>
    </row>
    <row r="608" spans="6:25" ht="15.75" customHeight="1">
      <c r="F608" s="18"/>
      <c r="G608" s="18"/>
      <c r="I608" s="18"/>
      <c r="J608" s="18"/>
      <c r="K608" s="18"/>
      <c r="L608" s="18"/>
      <c r="M608" s="18"/>
      <c r="N608" s="18"/>
      <c r="O608" s="18"/>
      <c r="P608" s="18"/>
      <c r="Q608" s="18"/>
      <c r="W608" s="18"/>
      <c r="X608" s="18"/>
      <c r="Y608" s="18"/>
    </row>
    <row r="609" spans="6:25" ht="15.75" customHeight="1">
      <c r="F609" s="18"/>
      <c r="G609" s="18"/>
      <c r="I609" s="18"/>
      <c r="J609" s="18"/>
      <c r="K609" s="18"/>
      <c r="L609" s="18"/>
      <c r="M609" s="18"/>
      <c r="N609" s="18"/>
      <c r="O609" s="18"/>
      <c r="P609" s="18"/>
      <c r="Q609" s="18"/>
      <c r="W609" s="18"/>
      <c r="X609" s="18"/>
      <c r="Y609" s="18"/>
    </row>
    <row r="610" spans="6:25" ht="15.75" customHeight="1">
      <c r="F610" s="18"/>
      <c r="G610" s="18"/>
      <c r="I610" s="18"/>
      <c r="J610" s="18"/>
      <c r="K610" s="18"/>
      <c r="L610" s="18"/>
      <c r="M610" s="18"/>
      <c r="N610" s="18"/>
      <c r="O610" s="18"/>
      <c r="P610" s="18"/>
      <c r="Q610" s="18"/>
      <c r="W610" s="18"/>
      <c r="X610" s="18"/>
      <c r="Y610" s="18"/>
    </row>
    <row r="611" spans="6:25" ht="15.75" customHeight="1">
      <c r="F611" s="18"/>
      <c r="G611" s="18"/>
      <c r="I611" s="18"/>
      <c r="J611" s="18"/>
      <c r="K611" s="18"/>
      <c r="L611" s="18"/>
      <c r="M611" s="18"/>
      <c r="N611" s="18"/>
      <c r="O611" s="18"/>
      <c r="P611" s="18"/>
      <c r="Q611" s="18"/>
      <c r="W611" s="18"/>
      <c r="X611" s="18"/>
      <c r="Y611" s="18"/>
    </row>
    <row r="612" spans="6:25" ht="15.75" customHeight="1">
      <c r="F612" s="18"/>
      <c r="G612" s="18"/>
      <c r="I612" s="18"/>
      <c r="J612" s="18"/>
      <c r="K612" s="18"/>
      <c r="L612" s="18"/>
      <c r="M612" s="18"/>
      <c r="N612" s="18"/>
      <c r="O612" s="18"/>
      <c r="P612" s="18"/>
      <c r="Q612" s="18"/>
      <c r="W612" s="18"/>
      <c r="X612" s="18"/>
      <c r="Y612" s="18"/>
    </row>
    <row r="613" spans="6:25" ht="15.75" customHeight="1">
      <c r="F613" s="18"/>
      <c r="G613" s="18"/>
      <c r="I613" s="18"/>
      <c r="J613" s="18"/>
      <c r="K613" s="18"/>
      <c r="L613" s="18"/>
      <c r="M613" s="18"/>
      <c r="N613" s="18"/>
      <c r="O613" s="18"/>
      <c r="P613" s="18"/>
      <c r="Q613" s="18"/>
      <c r="W613" s="18"/>
      <c r="X613" s="18"/>
      <c r="Y613" s="18"/>
    </row>
    <row r="614" spans="6:25" ht="15.75" customHeight="1">
      <c r="F614" s="18"/>
      <c r="G614" s="18"/>
      <c r="I614" s="18"/>
      <c r="J614" s="18"/>
      <c r="K614" s="18"/>
      <c r="L614" s="18"/>
      <c r="M614" s="18"/>
      <c r="N614" s="18"/>
      <c r="O614" s="18"/>
      <c r="P614" s="18"/>
      <c r="Q614" s="18"/>
      <c r="W614" s="18"/>
      <c r="X614" s="18"/>
      <c r="Y614" s="18"/>
    </row>
    <row r="615" spans="6:25" ht="15.75" customHeight="1">
      <c r="F615" s="18"/>
      <c r="G615" s="18"/>
      <c r="I615" s="18"/>
      <c r="J615" s="18"/>
      <c r="K615" s="18"/>
      <c r="L615" s="18"/>
      <c r="M615" s="18"/>
      <c r="N615" s="18"/>
      <c r="O615" s="18"/>
      <c r="P615" s="18"/>
      <c r="Q615" s="18"/>
      <c r="W615" s="18"/>
      <c r="X615" s="18"/>
      <c r="Y615" s="18"/>
    </row>
    <row r="616" spans="6:25" ht="15.75" customHeight="1">
      <c r="F616" s="18"/>
      <c r="G616" s="18"/>
      <c r="I616" s="18"/>
      <c r="J616" s="18"/>
      <c r="K616" s="18"/>
      <c r="L616" s="18"/>
      <c r="M616" s="18"/>
      <c r="N616" s="18"/>
      <c r="O616" s="18"/>
      <c r="P616" s="18"/>
      <c r="Q616" s="18"/>
      <c r="W616" s="18"/>
      <c r="X616" s="18"/>
      <c r="Y616" s="18"/>
    </row>
    <row r="617" spans="6:25" ht="15.75" customHeight="1">
      <c r="F617" s="18"/>
      <c r="G617" s="18"/>
      <c r="I617" s="18"/>
      <c r="J617" s="18"/>
      <c r="K617" s="18"/>
      <c r="L617" s="18"/>
      <c r="M617" s="18"/>
      <c r="N617" s="18"/>
      <c r="O617" s="18"/>
      <c r="P617" s="18"/>
      <c r="Q617" s="18"/>
      <c r="W617" s="18"/>
      <c r="X617" s="18"/>
      <c r="Y617" s="18"/>
    </row>
    <row r="618" spans="6:25" ht="15.75" customHeight="1">
      <c r="F618" s="18"/>
      <c r="G618" s="18"/>
      <c r="I618" s="18"/>
      <c r="J618" s="18"/>
      <c r="K618" s="18"/>
      <c r="L618" s="18"/>
      <c r="M618" s="18"/>
      <c r="N618" s="18"/>
      <c r="O618" s="18"/>
      <c r="P618" s="18"/>
      <c r="Q618" s="18"/>
      <c r="W618" s="18"/>
      <c r="X618" s="18"/>
      <c r="Y618" s="18"/>
    </row>
    <row r="619" spans="6:25" ht="15.75" customHeight="1">
      <c r="F619" s="18"/>
      <c r="G619" s="18"/>
      <c r="I619" s="18"/>
      <c r="J619" s="18"/>
      <c r="K619" s="18"/>
      <c r="L619" s="18"/>
      <c r="M619" s="18"/>
      <c r="N619" s="18"/>
      <c r="O619" s="18"/>
      <c r="P619" s="18"/>
      <c r="Q619" s="18"/>
      <c r="W619" s="18"/>
      <c r="X619" s="18"/>
      <c r="Y619" s="18"/>
    </row>
    <row r="620" spans="6:25" ht="15.75" customHeight="1">
      <c r="F620" s="18"/>
      <c r="G620" s="18"/>
      <c r="I620" s="18"/>
      <c r="J620" s="18"/>
      <c r="K620" s="18"/>
      <c r="L620" s="18"/>
      <c r="M620" s="18"/>
      <c r="N620" s="18"/>
      <c r="O620" s="18"/>
      <c r="P620" s="18"/>
      <c r="Q620" s="18"/>
      <c r="W620" s="18"/>
      <c r="X620" s="18"/>
      <c r="Y620" s="18"/>
    </row>
    <row r="621" spans="6:25" ht="15.75" customHeight="1">
      <c r="F621" s="18"/>
      <c r="G621" s="18"/>
      <c r="I621" s="18"/>
      <c r="J621" s="18"/>
      <c r="K621" s="18"/>
      <c r="L621" s="18"/>
      <c r="M621" s="18"/>
      <c r="N621" s="18"/>
      <c r="O621" s="18"/>
      <c r="P621" s="18"/>
      <c r="Q621" s="18"/>
      <c r="W621" s="18"/>
      <c r="X621" s="18"/>
      <c r="Y621" s="18"/>
    </row>
    <row r="622" spans="6:25" ht="15.75" customHeight="1">
      <c r="F622" s="18"/>
      <c r="G622" s="18"/>
      <c r="I622" s="18"/>
      <c r="J622" s="18"/>
      <c r="K622" s="18"/>
      <c r="L622" s="18"/>
      <c r="M622" s="18"/>
      <c r="N622" s="18"/>
      <c r="O622" s="18"/>
      <c r="P622" s="18"/>
      <c r="Q622" s="18"/>
      <c r="W622" s="18"/>
      <c r="X622" s="18"/>
      <c r="Y622" s="18"/>
    </row>
    <row r="623" spans="6:25" ht="15.75" customHeight="1">
      <c r="F623" s="18"/>
      <c r="G623" s="18"/>
      <c r="I623" s="18"/>
      <c r="J623" s="18"/>
      <c r="K623" s="18"/>
      <c r="L623" s="18"/>
      <c r="M623" s="18"/>
      <c r="N623" s="18"/>
      <c r="O623" s="18"/>
      <c r="P623" s="18"/>
      <c r="Q623" s="18"/>
      <c r="W623" s="18"/>
      <c r="X623" s="18"/>
      <c r="Y623" s="18"/>
    </row>
    <row r="624" spans="6:25" ht="15.75" customHeight="1">
      <c r="F624" s="18"/>
      <c r="G624" s="18"/>
      <c r="I624" s="18"/>
      <c r="J624" s="18"/>
      <c r="K624" s="18"/>
      <c r="L624" s="18"/>
      <c r="M624" s="18"/>
      <c r="N624" s="18"/>
      <c r="O624" s="18"/>
      <c r="P624" s="18"/>
      <c r="Q624" s="18"/>
      <c r="W624" s="18"/>
      <c r="X624" s="18"/>
      <c r="Y624" s="18"/>
    </row>
    <row r="625" spans="6:25" ht="15.75" customHeight="1">
      <c r="F625" s="18"/>
      <c r="G625" s="18"/>
      <c r="I625" s="18"/>
      <c r="J625" s="18"/>
      <c r="K625" s="18"/>
      <c r="L625" s="18"/>
      <c r="M625" s="18"/>
      <c r="N625" s="18"/>
      <c r="O625" s="18"/>
      <c r="P625" s="18"/>
      <c r="Q625" s="18"/>
      <c r="W625" s="18"/>
      <c r="X625" s="18"/>
      <c r="Y625" s="18"/>
    </row>
    <row r="626" spans="6:25" ht="15.75" customHeight="1">
      <c r="F626" s="18"/>
      <c r="G626" s="18"/>
      <c r="I626" s="18"/>
      <c r="J626" s="18"/>
      <c r="K626" s="18"/>
      <c r="L626" s="18"/>
      <c r="M626" s="18"/>
      <c r="N626" s="18"/>
      <c r="O626" s="18"/>
      <c r="P626" s="18"/>
      <c r="Q626" s="18"/>
      <c r="W626" s="18"/>
      <c r="X626" s="18"/>
      <c r="Y626" s="18"/>
    </row>
    <row r="627" spans="6:25" ht="15.75" customHeight="1">
      <c r="F627" s="18"/>
      <c r="G627" s="18"/>
      <c r="I627" s="18"/>
      <c r="J627" s="18"/>
      <c r="K627" s="18"/>
      <c r="L627" s="18"/>
      <c r="M627" s="18"/>
      <c r="N627" s="18"/>
      <c r="O627" s="18"/>
      <c r="P627" s="18"/>
      <c r="Q627" s="18"/>
      <c r="W627" s="18"/>
      <c r="X627" s="18"/>
      <c r="Y627" s="18"/>
    </row>
    <row r="628" spans="6:25" ht="15.75" customHeight="1">
      <c r="F628" s="18"/>
      <c r="G628" s="18"/>
      <c r="I628" s="18"/>
      <c r="J628" s="18"/>
      <c r="K628" s="18"/>
      <c r="L628" s="18"/>
      <c r="M628" s="18"/>
      <c r="N628" s="18"/>
      <c r="O628" s="18"/>
      <c r="P628" s="18"/>
      <c r="Q628" s="18"/>
      <c r="W628" s="18"/>
      <c r="X628" s="18"/>
      <c r="Y628" s="18"/>
    </row>
    <row r="629" spans="6:25" ht="15.75" customHeight="1">
      <c r="F629" s="18"/>
      <c r="G629" s="18"/>
      <c r="I629" s="18"/>
      <c r="J629" s="18"/>
      <c r="K629" s="18"/>
      <c r="L629" s="18"/>
      <c r="M629" s="18"/>
      <c r="N629" s="18"/>
      <c r="O629" s="18"/>
      <c r="P629" s="18"/>
      <c r="Q629" s="18"/>
      <c r="W629" s="18"/>
      <c r="X629" s="18"/>
      <c r="Y629" s="18"/>
    </row>
    <row r="630" spans="6:25" ht="15.75" customHeight="1">
      <c r="F630" s="18"/>
      <c r="G630" s="18"/>
      <c r="I630" s="18"/>
      <c r="J630" s="18"/>
      <c r="K630" s="18"/>
      <c r="L630" s="18"/>
      <c r="M630" s="18"/>
      <c r="N630" s="18"/>
      <c r="O630" s="18"/>
      <c r="P630" s="18"/>
      <c r="Q630" s="18"/>
      <c r="W630" s="18"/>
      <c r="X630" s="18"/>
      <c r="Y630" s="18"/>
    </row>
    <row r="631" spans="6:25" ht="15.75" customHeight="1">
      <c r="F631" s="18"/>
      <c r="G631" s="18"/>
      <c r="I631" s="18"/>
      <c r="J631" s="18"/>
      <c r="K631" s="18"/>
      <c r="L631" s="18"/>
      <c r="M631" s="18"/>
      <c r="N631" s="18"/>
      <c r="O631" s="18"/>
      <c r="P631" s="18"/>
      <c r="Q631" s="18"/>
      <c r="W631" s="18"/>
      <c r="X631" s="18"/>
      <c r="Y631" s="18"/>
    </row>
    <row r="632" spans="6:25" ht="15.75" customHeight="1">
      <c r="F632" s="18"/>
      <c r="G632" s="18"/>
      <c r="I632" s="18"/>
      <c r="J632" s="18"/>
      <c r="K632" s="18"/>
      <c r="L632" s="18"/>
      <c r="M632" s="18"/>
      <c r="N632" s="18"/>
      <c r="O632" s="18"/>
      <c r="P632" s="18"/>
      <c r="Q632" s="18"/>
      <c r="W632" s="18"/>
      <c r="X632" s="18"/>
      <c r="Y632" s="18"/>
    </row>
    <row r="633" spans="6:25" ht="15.75" customHeight="1">
      <c r="F633" s="18"/>
      <c r="G633" s="18"/>
      <c r="I633" s="18"/>
      <c r="J633" s="18"/>
      <c r="K633" s="18"/>
      <c r="L633" s="18"/>
      <c r="M633" s="18"/>
      <c r="N633" s="18"/>
      <c r="O633" s="18"/>
      <c r="P633" s="18"/>
      <c r="Q633" s="18"/>
      <c r="W633" s="18"/>
      <c r="X633" s="18"/>
      <c r="Y633" s="18"/>
    </row>
    <row r="634" spans="6:25" ht="15.75" customHeight="1">
      <c r="F634" s="18"/>
      <c r="G634" s="18"/>
      <c r="I634" s="18"/>
      <c r="J634" s="18"/>
      <c r="K634" s="18"/>
      <c r="L634" s="18"/>
      <c r="M634" s="18"/>
      <c r="N634" s="18"/>
      <c r="O634" s="18"/>
      <c r="P634" s="18"/>
      <c r="Q634" s="18"/>
      <c r="W634" s="18"/>
      <c r="X634" s="18"/>
      <c r="Y634" s="18"/>
    </row>
    <row r="635" spans="6:25" ht="15.75" customHeight="1">
      <c r="F635" s="18"/>
      <c r="G635" s="18"/>
      <c r="I635" s="18"/>
      <c r="J635" s="18"/>
      <c r="K635" s="18"/>
      <c r="L635" s="18"/>
      <c r="M635" s="18"/>
      <c r="N635" s="18"/>
      <c r="O635" s="18"/>
      <c r="P635" s="18"/>
      <c r="Q635" s="18"/>
      <c r="W635" s="18"/>
      <c r="X635" s="18"/>
      <c r="Y635" s="18"/>
    </row>
    <row r="636" spans="6:25" ht="15.75" customHeight="1">
      <c r="F636" s="18"/>
      <c r="G636" s="18"/>
      <c r="I636" s="18"/>
      <c r="J636" s="18"/>
      <c r="K636" s="18"/>
      <c r="L636" s="18"/>
      <c r="M636" s="18"/>
      <c r="N636" s="18"/>
      <c r="O636" s="18"/>
      <c r="P636" s="18"/>
      <c r="Q636" s="18"/>
      <c r="W636" s="18"/>
      <c r="X636" s="18"/>
      <c r="Y636" s="18"/>
    </row>
    <row r="637" spans="6:25" ht="15.75" customHeight="1">
      <c r="F637" s="18"/>
      <c r="G637" s="18"/>
      <c r="I637" s="18"/>
      <c r="J637" s="18"/>
      <c r="K637" s="18"/>
      <c r="L637" s="18"/>
      <c r="M637" s="18"/>
      <c r="N637" s="18"/>
      <c r="O637" s="18"/>
      <c r="P637" s="18"/>
      <c r="Q637" s="18"/>
      <c r="W637" s="18"/>
      <c r="X637" s="18"/>
      <c r="Y637" s="18"/>
    </row>
    <row r="638" spans="6:25" ht="15.75" customHeight="1">
      <c r="F638" s="18"/>
      <c r="G638" s="18"/>
      <c r="I638" s="18"/>
      <c r="J638" s="18"/>
      <c r="K638" s="18"/>
      <c r="L638" s="18"/>
      <c r="M638" s="18"/>
      <c r="N638" s="18"/>
      <c r="O638" s="18"/>
      <c r="P638" s="18"/>
      <c r="Q638" s="18"/>
      <c r="W638" s="18"/>
      <c r="X638" s="18"/>
      <c r="Y638" s="18"/>
    </row>
    <row r="639" spans="6:25" ht="15.75" customHeight="1">
      <c r="F639" s="18"/>
      <c r="G639" s="18"/>
      <c r="I639" s="18"/>
      <c r="J639" s="18"/>
      <c r="K639" s="18"/>
      <c r="L639" s="18"/>
      <c r="M639" s="18"/>
      <c r="N639" s="18"/>
      <c r="O639" s="18"/>
      <c r="P639" s="18"/>
      <c r="Q639" s="18"/>
      <c r="W639" s="18"/>
      <c r="X639" s="18"/>
      <c r="Y639" s="18"/>
    </row>
    <row r="640" spans="6:25" ht="15.75" customHeight="1">
      <c r="F640" s="18"/>
      <c r="G640" s="18"/>
      <c r="I640" s="18"/>
      <c r="J640" s="18"/>
      <c r="K640" s="18"/>
      <c r="L640" s="18"/>
      <c r="M640" s="18"/>
      <c r="N640" s="18"/>
      <c r="O640" s="18"/>
      <c r="P640" s="18"/>
      <c r="Q640" s="18"/>
      <c r="W640" s="18"/>
      <c r="X640" s="18"/>
      <c r="Y640" s="18"/>
    </row>
    <row r="641" spans="6:25" ht="15.75" customHeight="1">
      <c r="F641" s="18"/>
      <c r="G641" s="18"/>
      <c r="I641" s="18"/>
      <c r="J641" s="18"/>
      <c r="K641" s="18"/>
      <c r="L641" s="18"/>
      <c r="M641" s="18"/>
      <c r="N641" s="18"/>
      <c r="O641" s="18"/>
      <c r="P641" s="18"/>
      <c r="Q641" s="18"/>
      <c r="W641" s="18"/>
      <c r="X641" s="18"/>
      <c r="Y641" s="18"/>
    </row>
    <row r="642" spans="6:25" ht="15.75" customHeight="1">
      <c r="F642" s="18"/>
      <c r="G642" s="18"/>
      <c r="I642" s="18"/>
      <c r="J642" s="18"/>
      <c r="K642" s="18"/>
      <c r="L642" s="18"/>
      <c r="M642" s="18"/>
      <c r="N642" s="18"/>
      <c r="O642" s="18"/>
      <c r="P642" s="18"/>
      <c r="Q642" s="18"/>
      <c r="W642" s="18"/>
      <c r="X642" s="18"/>
      <c r="Y642" s="18"/>
    </row>
    <row r="643" spans="6:25" ht="15.75" customHeight="1">
      <c r="F643" s="18"/>
      <c r="G643" s="18"/>
      <c r="I643" s="18"/>
      <c r="J643" s="18"/>
      <c r="K643" s="18"/>
      <c r="L643" s="18"/>
      <c r="M643" s="18"/>
      <c r="N643" s="18"/>
      <c r="O643" s="18"/>
      <c r="P643" s="18"/>
      <c r="Q643" s="18"/>
      <c r="W643" s="18"/>
      <c r="X643" s="18"/>
      <c r="Y643" s="18"/>
    </row>
    <row r="644" spans="6:25" ht="15.75" customHeight="1">
      <c r="F644" s="18"/>
      <c r="G644" s="18"/>
      <c r="I644" s="18"/>
      <c r="J644" s="18"/>
      <c r="K644" s="18"/>
      <c r="L644" s="18"/>
      <c r="M644" s="18"/>
      <c r="N644" s="18"/>
      <c r="O644" s="18"/>
      <c r="P644" s="18"/>
      <c r="Q644" s="18"/>
      <c r="W644" s="18"/>
      <c r="X644" s="18"/>
      <c r="Y644" s="18"/>
    </row>
    <row r="645" spans="6:25" ht="15.75" customHeight="1">
      <c r="F645" s="18"/>
      <c r="G645" s="18"/>
      <c r="I645" s="18"/>
      <c r="J645" s="18"/>
      <c r="K645" s="18"/>
      <c r="L645" s="18"/>
      <c r="M645" s="18"/>
      <c r="N645" s="18"/>
      <c r="O645" s="18"/>
      <c r="P645" s="18"/>
      <c r="Q645" s="18"/>
      <c r="W645" s="18"/>
      <c r="X645" s="18"/>
      <c r="Y645" s="18"/>
    </row>
    <row r="646" spans="6:25" ht="15.75" customHeight="1">
      <c r="F646" s="18"/>
      <c r="G646" s="18"/>
      <c r="I646" s="18"/>
      <c r="J646" s="18"/>
      <c r="K646" s="18"/>
      <c r="L646" s="18"/>
      <c r="M646" s="18"/>
      <c r="N646" s="18"/>
      <c r="O646" s="18"/>
      <c r="P646" s="18"/>
      <c r="Q646" s="18"/>
      <c r="W646" s="18"/>
      <c r="X646" s="18"/>
      <c r="Y646" s="18"/>
    </row>
    <row r="647" spans="6:25" ht="15.75" customHeight="1">
      <c r="F647" s="18"/>
      <c r="G647" s="18"/>
      <c r="I647" s="18"/>
      <c r="J647" s="18"/>
      <c r="K647" s="18"/>
      <c r="L647" s="18"/>
      <c r="M647" s="18"/>
      <c r="N647" s="18"/>
      <c r="O647" s="18"/>
      <c r="P647" s="18"/>
      <c r="Q647" s="18"/>
      <c r="W647" s="18"/>
      <c r="X647" s="18"/>
      <c r="Y647" s="18"/>
    </row>
    <row r="648" spans="6:25" ht="15.75" customHeight="1">
      <c r="F648" s="18"/>
      <c r="G648" s="18"/>
      <c r="I648" s="18"/>
      <c r="J648" s="18"/>
      <c r="K648" s="18"/>
      <c r="L648" s="18"/>
      <c r="M648" s="18"/>
      <c r="N648" s="18"/>
      <c r="O648" s="18"/>
      <c r="P648" s="18"/>
      <c r="Q648" s="18"/>
      <c r="W648" s="18"/>
      <c r="X648" s="18"/>
      <c r="Y648" s="18"/>
    </row>
    <row r="649" spans="6:25" ht="15.75" customHeight="1">
      <c r="F649" s="18"/>
      <c r="G649" s="18"/>
      <c r="I649" s="18"/>
      <c r="J649" s="18"/>
      <c r="K649" s="18"/>
      <c r="L649" s="18"/>
      <c r="M649" s="18"/>
      <c r="N649" s="18"/>
      <c r="O649" s="18"/>
      <c r="P649" s="18"/>
      <c r="Q649" s="18"/>
      <c r="W649" s="18"/>
      <c r="X649" s="18"/>
      <c r="Y649" s="18"/>
    </row>
    <row r="650" spans="6:25" ht="15.75" customHeight="1">
      <c r="F650" s="18"/>
      <c r="G650" s="18"/>
      <c r="I650" s="18"/>
      <c r="J650" s="18"/>
      <c r="K650" s="18"/>
      <c r="L650" s="18"/>
      <c r="M650" s="18"/>
      <c r="N650" s="18"/>
      <c r="O650" s="18"/>
      <c r="P650" s="18"/>
      <c r="Q650" s="18"/>
      <c r="W650" s="18"/>
      <c r="X650" s="18"/>
      <c r="Y650" s="18"/>
    </row>
    <row r="651" spans="6:25" ht="15.75" customHeight="1">
      <c r="F651" s="18"/>
      <c r="G651" s="18"/>
      <c r="I651" s="18"/>
      <c r="J651" s="18"/>
      <c r="K651" s="18"/>
      <c r="L651" s="18"/>
      <c r="M651" s="18"/>
      <c r="N651" s="18"/>
      <c r="O651" s="18"/>
      <c r="P651" s="18"/>
      <c r="Q651" s="18"/>
      <c r="W651" s="18"/>
      <c r="X651" s="18"/>
      <c r="Y651" s="18"/>
    </row>
    <row r="652" spans="6:25" ht="15.75" customHeight="1">
      <c r="F652" s="18"/>
      <c r="G652" s="18"/>
      <c r="I652" s="18"/>
      <c r="J652" s="18"/>
      <c r="K652" s="18"/>
      <c r="L652" s="18"/>
      <c r="M652" s="18"/>
      <c r="N652" s="18"/>
      <c r="O652" s="18"/>
      <c r="P652" s="18"/>
      <c r="Q652" s="18"/>
      <c r="W652" s="18"/>
      <c r="X652" s="18"/>
      <c r="Y652" s="18"/>
    </row>
    <row r="653" spans="6:25" ht="15.75" customHeight="1">
      <c r="F653" s="18"/>
      <c r="G653" s="18"/>
      <c r="I653" s="18"/>
      <c r="J653" s="18"/>
      <c r="K653" s="18"/>
      <c r="L653" s="18"/>
      <c r="M653" s="18"/>
      <c r="N653" s="18"/>
      <c r="O653" s="18"/>
      <c r="P653" s="18"/>
      <c r="Q653" s="18"/>
      <c r="W653" s="18"/>
      <c r="X653" s="18"/>
      <c r="Y653" s="18"/>
    </row>
    <row r="654" spans="6:25" ht="15.75" customHeight="1">
      <c r="F654" s="18"/>
      <c r="G654" s="18"/>
      <c r="I654" s="18"/>
      <c r="J654" s="18"/>
      <c r="K654" s="18"/>
      <c r="L654" s="18"/>
      <c r="M654" s="18"/>
      <c r="N654" s="18"/>
      <c r="O654" s="18"/>
      <c r="P654" s="18"/>
      <c r="Q654" s="18"/>
      <c r="W654" s="18"/>
      <c r="X654" s="18"/>
      <c r="Y654" s="18"/>
    </row>
    <row r="655" spans="6:25" ht="15.75" customHeight="1">
      <c r="F655" s="18"/>
      <c r="G655" s="18"/>
      <c r="I655" s="18"/>
      <c r="J655" s="18"/>
      <c r="K655" s="18"/>
      <c r="L655" s="18"/>
      <c r="M655" s="18"/>
      <c r="N655" s="18"/>
      <c r="O655" s="18"/>
      <c r="P655" s="18"/>
      <c r="Q655" s="18"/>
      <c r="W655" s="18"/>
      <c r="X655" s="18"/>
      <c r="Y655" s="18"/>
    </row>
    <row r="656" spans="6:25" ht="15.75" customHeight="1">
      <c r="F656" s="18"/>
      <c r="G656" s="18"/>
      <c r="I656" s="18"/>
      <c r="J656" s="18"/>
      <c r="K656" s="18"/>
      <c r="L656" s="18"/>
      <c r="M656" s="18"/>
      <c r="N656" s="18"/>
      <c r="O656" s="18"/>
      <c r="P656" s="18"/>
      <c r="Q656" s="18"/>
      <c r="W656" s="18"/>
      <c r="X656" s="18"/>
      <c r="Y656" s="18"/>
    </row>
    <row r="657" spans="6:25" ht="15.75" customHeight="1">
      <c r="F657" s="18"/>
      <c r="G657" s="18"/>
      <c r="I657" s="18"/>
      <c r="J657" s="18"/>
      <c r="K657" s="18"/>
      <c r="L657" s="18"/>
      <c r="M657" s="18"/>
      <c r="N657" s="18"/>
      <c r="O657" s="18"/>
      <c r="P657" s="18"/>
      <c r="Q657" s="18"/>
      <c r="W657" s="18"/>
      <c r="X657" s="18"/>
      <c r="Y657" s="18"/>
    </row>
    <row r="658" spans="6:25" ht="15.75" customHeight="1">
      <c r="F658" s="18"/>
      <c r="G658" s="18"/>
      <c r="I658" s="18"/>
      <c r="J658" s="18"/>
      <c r="K658" s="18"/>
      <c r="L658" s="18"/>
      <c r="M658" s="18"/>
      <c r="N658" s="18"/>
      <c r="O658" s="18"/>
      <c r="P658" s="18"/>
      <c r="Q658" s="18"/>
      <c r="W658" s="18"/>
      <c r="X658" s="18"/>
      <c r="Y658" s="18"/>
    </row>
    <row r="659" spans="6:25" ht="15.75" customHeight="1">
      <c r="F659" s="18"/>
      <c r="G659" s="18"/>
      <c r="I659" s="18"/>
      <c r="J659" s="18"/>
      <c r="K659" s="18"/>
      <c r="L659" s="18"/>
      <c r="M659" s="18"/>
      <c r="N659" s="18"/>
      <c r="O659" s="18"/>
      <c r="P659" s="18"/>
      <c r="Q659" s="18"/>
      <c r="W659" s="18"/>
      <c r="X659" s="18"/>
      <c r="Y659" s="18"/>
    </row>
    <row r="660" spans="6:25" ht="15.75" customHeight="1">
      <c r="F660" s="18"/>
      <c r="G660" s="18"/>
      <c r="I660" s="18"/>
      <c r="J660" s="18"/>
      <c r="K660" s="18"/>
      <c r="L660" s="18"/>
      <c r="M660" s="18"/>
      <c r="N660" s="18"/>
      <c r="O660" s="18"/>
      <c r="P660" s="18"/>
      <c r="Q660" s="18"/>
      <c r="W660" s="18"/>
      <c r="X660" s="18"/>
      <c r="Y660" s="18"/>
    </row>
    <row r="661" spans="6:25" ht="15.75" customHeight="1">
      <c r="F661" s="18"/>
      <c r="G661" s="18"/>
      <c r="I661" s="18"/>
      <c r="J661" s="18"/>
      <c r="K661" s="18"/>
      <c r="L661" s="18"/>
      <c r="M661" s="18"/>
      <c r="N661" s="18"/>
      <c r="O661" s="18"/>
      <c r="P661" s="18"/>
      <c r="Q661" s="18"/>
      <c r="W661" s="18"/>
      <c r="X661" s="18"/>
      <c r="Y661" s="18"/>
    </row>
    <row r="662" spans="6:25" ht="15.75" customHeight="1">
      <c r="F662" s="18"/>
      <c r="G662" s="18"/>
      <c r="I662" s="18"/>
      <c r="J662" s="18"/>
      <c r="K662" s="18"/>
      <c r="L662" s="18"/>
      <c r="M662" s="18"/>
      <c r="N662" s="18"/>
      <c r="O662" s="18"/>
      <c r="P662" s="18"/>
      <c r="Q662" s="18"/>
      <c r="W662" s="18"/>
      <c r="X662" s="18"/>
      <c r="Y662" s="18"/>
    </row>
    <row r="663" spans="6:25" ht="15.75" customHeight="1">
      <c r="F663" s="18"/>
      <c r="G663" s="18"/>
      <c r="I663" s="18"/>
      <c r="J663" s="18"/>
      <c r="K663" s="18"/>
      <c r="L663" s="18"/>
      <c r="M663" s="18"/>
      <c r="N663" s="18"/>
      <c r="O663" s="18"/>
      <c r="P663" s="18"/>
      <c r="Q663" s="18"/>
      <c r="W663" s="18"/>
      <c r="X663" s="18"/>
      <c r="Y663" s="18"/>
    </row>
    <row r="664" spans="6:25" ht="15.75" customHeight="1">
      <c r="F664" s="18"/>
      <c r="G664" s="18"/>
      <c r="I664" s="18"/>
      <c r="J664" s="18"/>
      <c r="K664" s="18"/>
      <c r="L664" s="18"/>
      <c r="M664" s="18"/>
      <c r="N664" s="18"/>
      <c r="O664" s="18"/>
      <c r="P664" s="18"/>
      <c r="Q664" s="18"/>
      <c r="W664" s="18"/>
      <c r="X664" s="18"/>
      <c r="Y664" s="18"/>
    </row>
    <row r="665" spans="6:25" ht="15.75" customHeight="1">
      <c r="F665" s="18"/>
      <c r="G665" s="18"/>
      <c r="I665" s="18"/>
      <c r="J665" s="18"/>
      <c r="K665" s="18"/>
      <c r="L665" s="18"/>
      <c r="M665" s="18"/>
      <c r="N665" s="18"/>
      <c r="O665" s="18"/>
      <c r="P665" s="18"/>
      <c r="Q665" s="18"/>
      <c r="W665" s="18"/>
      <c r="X665" s="18"/>
      <c r="Y665" s="18"/>
    </row>
    <row r="666" spans="6:25" ht="15.75" customHeight="1">
      <c r="F666" s="18"/>
      <c r="G666" s="18"/>
      <c r="I666" s="18"/>
      <c r="J666" s="18"/>
      <c r="K666" s="18"/>
      <c r="L666" s="18"/>
      <c r="M666" s="18"/>
      <c r="N666" s="18"/>
      <c r="O666" s="18"/>
      <c r="P666" s="18"/>
      <c r="Q666" s="18"/>
      <c r="W666" s="18"/>
      <c r="X666" s="18"/>
      <c r="Y666" s="18"/>
    </row>
    <row r="667" spans="6:25" ht="15.75" customHeight="1">
      <c r="F667" s="18"/>
      <c r="G667" s="18"/>
      <c r="I667" s="18"/>
      <c r="J667" s="18"/>
      <c r="K667" s="18"/>
      <c r="L667" s="18"/>
      <c r="M667" s="18"/>
      <c r="N667" s="18"/>
      <c r="O667" s="18"/>
      <c r="P667" s="18"/>
      <c r="Q667" s="18"/>
      <c r="W667" s="18"/>
      <c r="X667" s="18"/>
      <c r="Y667" s="18"/>
    </row>
    <row r="668" spans="6:25" ht="15.75" customHeight="1">
      <c r="F668" s="18"/>
      <c r="G668" s="18"/>
      <c r="I668" s="18"/>
      <c r="J668" s="18"/>
      <c r="K668" s="18"/>
      <c r="L668" s="18"/>
      <c r="M668" s="18"/>
      <c r="N668" s="18"/>
      <c r="O668" s="18"/>
      <c r="P668" s="18"/>
      <c r="Q668" s="18"/>
      <c r="W668" s="18"/>
      <c r="X668" s="18"/>
      <c r="Y668" s="18"/>
    </row>
    <row r="669" spans="6:25" ht="15.75" customHeight="1">
      <c r="F669" s="18"/>
      <c r="G669" s="18"/>
      <c r="I669" s="18"/>
      <c r="J669" s="18"/>
      <c r="K669" s="18"/>
      <c r="L669" s="18"/>
      <c r="M669" s="18"/>
      <c r="N669" s="18"/>
      <c r="O669" s="18"/>
      <c r="P669" s="18"/>
      <c r="Q669" s="18"/>
      <c r="W669" s="18"/>
      <c r="X669" s="18"/>
      <c r="Y669" s="18"/>
    </row>
    <row r="670" spans="6:25" ht="15.75" customHeight="1">
      <c r="F670" s="18"/>
      <c r="G670" s="18"/>
      <c r="I670" s="18"/>
      <c r="J670" s="18"/>
      <c r="K670" s="18"/>
      <c r="L670" s="18"/>
      <c r="M670" s="18"/>
      <c r="N670" s="18"/>
      <c r="O670" s="18"/>
      <c r="P670" s="18"/>
      <c r="Q670" s="18"/>
      <c r="W670" s="18"/>
      <c r="X670" s="18"/>
      <c r="Y670" s="18"/>
    </row>
    <row r="671" spans="6:25" ht="15.75" customHeight="1">
      <c r="F671" s="18"/>
      <c r="G671" s="18"/>
      <c r="I671" s="18"/>
      <c r="J671" s="18"/>
      <c r="K671" s="18"/>
      <c r="L671" s="18"/>
      <c r="M671" s="18"/>
      <c r="N671" s="18"/>
      <c r="O671" s="18"/>
      <c r="P671" s="18"/>
      <c r="Q671" s="18"/>
      <c r="W671" s="18"/>
      <c r="X671" s="18"/>
      <c r="Y671" s="18"/>
    </row>
    <row r="672" spans="6:25" ht="15.75" customHeight="1">
      <c r="F672" s="18"/>
      <c r="G672" s="18"/>
      <c r="I672" s="18"/>
      <c r="J672" s="18"/>
      <c r="K672" s="18"/>
      <c r="L672" s="18"/>
      <c r="M672" s="18"/>
      <c r="N672" s="18"/>
      <c r="O672" s="18"/>
      <c r="P672" s="18"/>
      <c r="Q672" s="18"/>
      <c r="W672" s="18"/>
      <c r="X672" s="18"/>
      <c r="Y672" s="18"/>
    </row>
    <row r="673" spans="6:25" ht="15.75" customHeight="1">
      <c r="F673" s="18"/>
      <c r="G673" s="18"/>
      <c r="I673" s="18"/>
      <c r="J673" s="18"/>
      <c r="K673" s="18"/>
      <c r="L673" s="18"/>
      <c r="M673" s="18"/>
      <c r="N673" s="18"/>
      <c r="O673" s="18"/>
      <c r="P673" s="18"/>
      <c r="Q673" s="18"/>
      <c r="W673" s="18"/>
      <c r="X673" s="18"/>
      <c r="Y673" s="18"/>
    </row>
    <row r="674" spans="6:25" ht="15.75" customHeight="1">
      <c r="F674" s="18"/>
      <c r="G674" s="18"/>
      <c r="I674" s="18"/>
      <c r="J674" s="18"/>
      <c r="K674" s="18"/>
      <c r="L674" s="18"/>
      <c r="M674" s="18"/>
      <c r="N674" s="18"/>
      <c r="O674" s="18"/>
      <c r="P674" s="18"/>
      <c r="Q674" s="18"/>
      <c r="W674" s="18"/>
      <c r="X674" s="18"/>
      <c r="Y674" s="18"/>
    </row>
    <row r="675" spans="6:25" ht="15.75" customHeight="1">
      <c r="F675" s="18"/>
      <c r="G675" s="18"/>
      <c r="I675" s="18"/>
      <c r="J675" s="18"/>
      <c r="K675" s="18"/>
      <c r="L675" s="18"/>
      <c r="M675" s="18"/>
      <c r="N675" s="18"/>
      <c r="O675" s="18"/>
      <c r="P675" s="18"/>
      <c r="Q675" s="18"/>
      <c r="W675" s="18"/>
      <c r="X675" s="18"/>
      <c r="Y675" s="18"/>
    </row>
    <row r="676" spans="6:25" ht="15.75" customHeight="1">
      <c r="F676" s="18"/>
      <c r="G676" s="18"/>
      <c r="I676" s="18"/>
      <c r="J676" s="18"/>
      <c r="K676" s="18"/>
      <c r="L676" s="18"/>
      <c r="M676" s="18"/>
      <c r="N676" s="18"/>
      <c r="O676" s="18"/>
      <c r="P676" s="18"/>
      <c r="Q676" s="18"/>
      <c r="W676" s="18"/>
      <c r="X676" s="18"/>
      <c r="Y676" s="18"/>
    </row>
    <row r="677" spans="6:25" ht="15.75" customHeight="1">
      <c r="F677" s="18"/>
      <c r="G677" s="18"/>
      <c r="I677" s="18"/>
      <c r="J677" s="18"/>
      <c r="K677" s="18"/>
      <c r="L677" s="18"/>
      <c r="M677" s="18"/>
      <c r="N677" s="18"/>
      <c r="O677" s="18"/>
      <c r="P677" s="18"/>
      <c r="Q677" s="18"/>
      <c r="W677" s="18"/>
      <c r="X677" s="18"/>
      <c r="Y677" s="18"/>
    </row>
    <row r="678" spans="6:25" ht="15.75" customHeight="1">
      <c r="F678" s="18"/>
      <c r="G678" s="18"/>
      <c r="I678" s="18"/>
      <c r="J678" s="18"/>
      <c r="K678" s="18"/>
      <c r="L678" s="18"/>
      <c r="M678" s="18"/>
      <c r="N678" s="18"/>
      <c r="O678" s="18"/>
      <c r="P678" s="18"/>
      <c r="Q678" s="18"/>
      <c r="W678" s="18"/>
      <c r="X678" s="18"/>
      <c r="Y678" s="18"/>
    </row>
    <row r="679" spans="6:25" ht="15.75" customHeight="1">
      <c r="F679" s="18"/>
      <c r="G679" s="18"/>
      <c r="I679" s="18"/>
      <c r="J679" s="18"/>
      <c r="K679" s="18"/>
      <c r="L679" s="18"/>
      <c r="M679" s="18"/>
      <c r="N679" s="18"/>
      <c r="O679" s="18"/>
      <c r="P679" s="18"/>
      <c r="Q679" s="18"/>
      <c r="W679" s="18"/>
      <c r="X679" s="18"/>
      <c r="Y679" s="18"/>
    </row>
    <row r="680" spans="6:25" ht="15.75" customHeight="1">
      <c r="F680" s="18"/>
      <c r="G680" s="18"/>
      <c r="I680" s="18"/>
      <c r="J680" s="18"/>
      <c r="K680" s="18"/>
      <c r="L680" s="18"/>
      <c r="M680" s="18"/>
      <c r="N680" s="18"/>
      <c r="O680" s="18"/>
      <c r="P680" s="18"/>
      <c r="Q680" s="18"/>
      <c r="W680" s="18"/>
      <c r="X680" s="18"/>
      <c r="Y680" s="18"/>
    </row>
    <row r="681" spans="6:25" ht="15.75" customHeight="1">
      <c r="F681" s="18"/>
      <c r="G681" s="18"/>
      <c r="I681" s="18"/>
      <c r="J681" s="18"/>
      <c r="K681" s="18"/>
      <c r="L681" s="18"/>
      <c r="M681" s="18"/>
      <c r="N681" s="18"/>
      <c r="O681" s="18"/>
      <c r="P681" s="18"/>
      <c r="Q681" s="18"/>
      <c r="W681" s="18"/>
      <c r="X681" s="18"/>
      <c r="Y681" s="18"/>
    </row>
    <row r="682" spans="6:25" ht="15.75" customHeight="1">
      <c r="F682" s="18"/>
      <c r="G682" s="18"/>
      <c r="I682" s="18"/>
      <c r="J682" s="18"/>
      <c r="K682" s="18"/>
      <c r="L682" s="18"/>
      <c r="M682" s="18"/>
      <c r="N682" s="18"/>
      <c r="O682" s="18"/>
      <c r="P682" s="18"/>
      <c r="Q682" s="18"/>
      <c r="W682" s="18"/>
      <c r="X682" s="18"/>
      <c r="Y682" s="18"/>
    </row>
    <row r="683" spans="6:25" ht="15.75" customHeight="1">
      <c r="F683" s="18"/>
      <c r="G683" s="18"/>
      <c r="I683" s="18"/>
      <c r="J683" s="18"/>
      <c r="K683" s="18"/>
      <c r="L683" s="18"/>
      <c r="M683" s="18"/>
      <c r="N683" s="18"/>
      <c r="O683" s="18"/>
      <c r="P683" s="18"/>
      <c r="Q683" s="18"/>
      <c r="W683" s="18"/>
      <c r="X683" s="18"/>
      <c r="Y683" s="18"/>
    </row>
    <row r="684" spans="6:25" ht="15.75" customHeight="1">
      <c r="F684" s="18"/>
      <c r="G684" s="18"/>
      <c r="I684" s="18"/>
      <c r="J684" s="18"/>
      <c r="K684" s="18"/>
      <c r="L684" s="18"/>
      <c r="M684" s="18"/>
      <c r="N684" s="18"/>
      <c r="O684" s="18"/>
      <c r="P684" s="18"/>
      <c r="Q684" s="18"/>
      <c r="W684" s="18"/>
      <c r="X684" s="18"/>
      <c r="Y684" s="18"/>
    </row>
    <row r="685" spans="6:25" ht="15.75" customHeight="1">
      <c r="F685" s="18"/>
      <c r="G685" s="18"/>
      <c r="I685" s="18"/>
      <c r="J685" s="18"/>
      <c r="K685" s="18"/>
      <c r="L685" s="18"/>
      <c r="M685" s="18"/>
      <c r="N685" s="18"/>
      <c r="O685" s="18"/>
      <c r="P685" s="18"/>
      <c r="Q685" s="18"/>
      <c r="W685" s="18"/>
      <c r="X685" s="18"/>
      <c r="Y685" s="18"/>
    </row>
    <row r="686" spans="6:25" ht="15.75" customHeight="1">
      <c r="F686" s="18"/>
      <c r="G686" s="18"/>
      <c r="I686" s="18"/>
      <c r="J686" s="18"/>
      <c r="K686" s="18"/>
      <c r="L686" s="18"/>
      <c r="M686" s="18"/>
      <c r="N686" s="18"/>
      <c r="O686" s="18"/>
      <c r="P686" s="18"/>
      <c r="Q686" s="18"/>
      <c r="W686" s="18"/>
      <c r="X686" s="18"/>
      <c r="Y686" s="18"/>
    </row>
    <row r="687" spans="6:25" ht="15.75" customHeight="1">
      <c r="F687" s="18"/>
      <c r="G687" s="18"/>
      <c r="I687" s="18"/>
      <c r="J687" s="18"/>
      <c r="K687" s="18"/>
      <c r="L687" s="18"/>
      <c r="M687" s="18"/>
      <c r="N687" s="18"/>
      <c r="O687" s="18"/>
      <c r="P687" s="18"/>
      <c r="Q687" s="18"/>
      <c r="W687" s="18"/>
      <c r="X687" s="18"/>
      <c r="Y687" s="18"/>
    </row>
    <row r="688" spans="6:25" ht="15.75" customHeight="1">
      <c r="F688" s="18"/>
      <c r="G688" s="18"/>
      <c r="I688" s="18"/>
      <c r="J688" s="18"/>
      <c r="K688" s="18"/>
      <c r="L688" s="18"/>
      <c r="M688" s="18"/>
      <c r="N688" s="18"/>
      <c r="O688" s="18"/>
      <c r="P688" s="18"/>
      <c r="Q688" s="18"/>
      <c r="W688" s="18"/>
      <c r="X688" s="18"/>
      <c r="Y688" s="18"/>
    </row>
    <row r="689" spans="6:25" ht="15.75" customHeight="1">
      <c r="F689" s="18"/>
      <c r="G689" s="18"/>
      <c r="I689" s="18"/>
      <c r="J689" s="18"/>
      <c r="K689" s="18"/>
      <c r="L689" s="18"/>
      <c r="M689" s="18"/>
      <c r="N689" s="18"/>
      <c r="O689" s="18"/>
      <c r="P689" s="18"/>
      <c r="Q689" s="18"/>
      <c r="W689" s="18"/>
      <c r="X689" s="18"/>
      <c r="Y689" s="18"/>
    </row>
    <row r="690" spans="6:25" ht="15.75" customHeight="1">
      <c r="F690" s="18"/>
      <c r="G690" s="18"/>
      <c r="I690" s="18"/>
      <c r="J690" s="18"/>
      <c r="K690" s="18"/>
      <c r="L690" s="18"/>
      <c r="M690" s="18"/>
      <c r="N690" s="18"/>
      <c r="O690" s="18"/>
      <c r="P690" s="18"/>
      <c r="Q690" s="18"/>
      <c r="W690" s="18"/>
      <c r="X690" s="18"/>
      <c r="Y690" s="18"/>
    </row>
    <row r="691" spans="6:25" ht="15.75" customHeight="1">
      <c r="F691" s="18"/>
      <c r="G691" s="18"/>
      <c r="I691" s="18"/>
      <c r="J691" s="18"/>
      <c r="K691" s="18"/>
      <c r="L691" s="18"/>
      <c r="M691" s="18"/>
      <c r="N691" s="18"/>
      <c r="O691" s="18"/>
      <c r="P691" s="18"/>
      <c r="Q691" s="18"/>
      <c r="W691" s="18"/>
      <c r="X691" s="18"/>
      <c r="Y691" s="18"/>
    </row>
    <row r="692" spans="6:25" ht="15.75" customHeight="1">
      <c r="F692" s="18"/>
      <c r="G692" s="18"/>
      <c r="I692" s="18"/>
      <c r="J692" s="18"/>
      <c r="K692" s="18"/>
      <c r="L692" s="18"/>
      <c r="M692" s="18"/>
      <c r="N692" s="18"/>
      <c r="O692" s="18"/>
      <c r="P692" s="18"/>
      <c r="Q692" s="18"/>
      <c r="W692" s="18"/>
      <c r="X692" s="18"/>
      <c r="Y692" s="18"/>
    </row>
    <row r="693" spans="6:25" ht="15.75" customHeight="1">
      <c r="F693" s="18"/>
      <c r="G693" s="18"/>
      <c r="I693" s="18"/>
      <c r="J693" s="18"/>
      <c r="K693" s="18"/>
      <c r="L693" s="18"/>
      <c r="M693" s="18"/>
      <c r="N693" s="18"/>
      <c r="O693" s="18"/>
      <c r="P693" s="18"/>
      <c r="Q693" s="18"/>
      <c r="W693" s="18"/>
      <c r="X693" s="18"/>
      <c r="Y693" s="18"/>
    </row>
    <row r="694" spans="6:25" ht="15.75" customHeight="1">
      <c r="F694" s="18"/>
      <c r="G694" s="18"/>
      <c r="I694" s="18"/>
      <c r="J694" s="18"/>
      <c r="K694" s="18"/>
      <c r="L694" s="18"/>
      <c r="M694" s="18"/>
      <c r="N694" s="18"/>
      <c r="O694" s="18"/>
      <c r="P694" s="18"/>
      <c r="Q694" s="18"/>
      <c r="W694" s="18"/>
      <c r="X694" s="18"/>
      <c r="Y694" s="18"/>
    </row>
    <row r="695" spans="6:25" ht="15.75" customHeight="1">
      <c r="F695" s="18"/>
      <c r="G695" s="18"/>
      <c r="I695" s="18"/>
      <c r="J695" s="18"/>
      <c r="K695" s="18"/>
      <c r="L695" s="18"/>
      <c r="M695" s="18"/>
      <c r="N695" s="18"/>
      <c r="O695" s="18"/>
      <c r="P695" s="18"/>
      <c r="Q695" s="18"/>
      <c r="W695" s="18"/>
      <c r="X695" s="18"/>
      <c r="Y695" s="18"/>
    </row>
    <row r="696" spans="6:25" ht="15.75" customHeight="1">
      <c r="F696" s="18"/>
      <c r="G696" s="18"/>
      <c r="I696" s="18"/>
      <c r="J696" s="18"/>
      <c r="K696" s="18"/>
      <c r="L696" s="18"/>
      <c r="M696" s="18"/>
      <c r="N696" s="18"/>
      <c r="O696" s="18"/>
      <c r="P696" s="18"/>
      <c r="Q696" s="18"/>
      <c r="W696" s="18"/>
      <c r="X696" s="18"/>
      <c r="Y696" s="18"/>
    </row>
    <row r="697" spans="6:25" ht="15.75" customHeight="1">
      <c r="F697" s="18"/>
      <c r="G697" s="18"/>
      <c r="I697" s="18"/>
      <c r="J697" s="18"/>
      <c r="K697" s="18"/>
      <c r="L697" s="18"/>
      <c r="M697" s="18"/>
      <c r="N697" s="18"/>
      <c r="O697" s="18"/>
      <c r="P697" s="18"/>
      <c r="Q697" s="18"/>
      <c r="W697" s="18"/>
      <c r="X697" s="18"/>
      <c r="Y697" s="18"/>
    </row>
    <row r="698" spans="6:25" ht="15.75" customHeight="1">
      <c r="F698" s="18"/>
      <c r="G698" s="18"/>
      <c r="I698" s="18"/>
      <c r="J698" s="18"/>
      <c r="K698" s="18"/>
      <c r="L698" s="18"/>
      <c r="M698" s="18"/>
      <c r="N698" s="18"/>
      <c r="O698" s="18"/>
      <c r="P698" s="18"/>
      <c r="Q698" s="18"/>
      <c r="W698" s="18"/>
      <c r="X698" s="18"/>
      <c r="Y698" s="18"/>
    </row>
    <row r="699" spans="6:25" ht="15.75" customHeight="1">
      <c r="F699" s="18"/>
      <c r="G699" s="18"/>
      <c r="I699" s="18"/>
      <c r="J699" s="18"/>
      <c r="K699" s="18"/>
      <c r="L699" s="18"/>
      <c r="M699" s="18"/>
      <c r="N699" s="18"/>
      <c r="O699" s="18"/>
      <c r="P699" s="18"/>
      <c r="Q699" s="18"/>
      <c r="W699" s="18"/>
      <c r="X699" s="18"/>
      <c r="Y699" s="18"/>
    </row>
    <row r="700" spans="6:25" ht="15.75" customHeight="1">
      <c r="F700" s="18"/>
      <c r="G700" s="18"/>
      <c r="I700" s="18"/>
      <c r="J700" s="18"/>
      <c r="K700" s="18"/>
      <c r="L700" s="18"/>
      <c r="M700" s="18"/>
      <c r="N700" s="18"/>
      <c r="O700" s="18"/>
      <c r="P700" s="18"/>
      <c r="Q700" s="18"/>
      <c r="W700" s="18"/>
      <c r="X700" s="18"/>
      <c r="Y700" s="18"/>
    </row>
    <row r="701" spans="6:25" ht="15.75" customHeight="1">
      <c r="F701" s="18"/>
      <c r="G701" s="18"/>
      <c r="I701" s="18"/>
      <c r="J701" s="18"/>
      <c r="K701" s="18"/>
      <c r="L701" s="18"/>
      <c r="M701" s="18"/>
      <c r="N701" s="18"/>
      <c r="O701" s="18"/>
      <c r="P701" s="18"/>
      <c r="Q701" s="18"/>
      <c r="W701" s="18"/>
      <c r="X701" s="18"/>
      <c r="Y701" s="18"/>
    </row>
    <row r="702" spans="6:25" ht="15.75" customHeight="1">
      <c r="F702" s="18"/>
      <c r="G702" s="18"/>
      <c r="I702" s="18"/>
      <c r="J702" s="18"/>
      <c r="K702" s="18"/>
      <c r="L702" s="18"/>
      <c r="M702" s="18"/>
      <c r="N702" s="18"/>
      <c r="O702" s="18"/>
      <c r="P702" s="18"/>
      <c r="Q702" s="18"/>
      <c r="W702" s="18"/>
      <c r="X702" s="18"/>
      <c r="Y702" s="18"/>
    </row>
    <row r="703" spans="6:25" ht="15.75" customHeight="1">
      <c r="F703" s="18"/>
      <c r="G703" s="18"/>
      <c r="I703" s="18"/>
      <c r="J703" s="18"/>
      <c r="K703" s="18"/>
      <c r="L703" s="18"/>
      <c r="M703" s="18"/>
      <c r="N703" s="18"/>
      <c r="O703" s="18"/>
      <c r="P703" s="18"/>
      <c r="Q703" s="18"/>
      <c r="W703" s="18"/>
      <c r="X703" s="18"/>
      <c r="Y703" s="18"/>
    </row>
    <row r="704" spans="6:25" ht="15.75" customHeight="1">
      <c r="F704" s="18"/>
      <c r="G704" s="18"/>
      <c r="I704" s="18"/>
      <c r="J704" s="18"/>
      <c r="K704" s="18"/>
      <c r="L704" s="18"/>
      <c r="M704" s="18"/>
      <c r="N704" s="18"/>
      <c r="O704" s="18"/>
      <c r="P704" s="18"/>
      <c r="Q704" s="18"/>
      <c r="W704" s="18"/>
      <c r="X704" s="18"/>
      <c r="Y704" s="18"/>
    </row>
    <row r="705" spans="6:25" ht="15.75" customHeight="1">
      <c r="F705" s="18"/>
      <c r="G705" s="18"/>
      <c r="I705" s="18"/>
      <c r="J705" s="18"/>
      <c r="K705" s="18"/>
      <c r="L705" s="18"/>
      <c r="M705" s="18"/>
      <c r="N705" s="18"/>
      <c r="O705" s="18"/>
      <c r="P705" s="18"/>
      <c r="Q705" s="18"/>
      <c r="W705" s="18"/>
      <c r="X705" s="18"/>
      <c r="Y705" s="18"/>
    </row>
    <row r="706" spans="6:25" ht="15.75" customHeight="1">
      <c r="F706" s="18"/>
      <c r="G706" s="18"/>
      <c r="I706" s="18"/>
      <c r="J706" s="18"/>
      <c r="K706" s="18"/>
      <c r="L706" s="18"/>
      <c r="M706" s="18"/>
      <c r="N706" s="18"/>
      <c r="O706" s="18"/>
      <c r="P706" s="18"/>
      <c r="Q706" s="18"/>
      <c r="W706" s="18"/>
      <c r="X706" s="18"/>
      <c r="Y706" s="18"/>
    </row>
    <row r="707" spans="6:25" ht="15.75" customHeight="1">
      <c r="F707" s="18"/>
      <c r="G707" s="18"/>
      <c r="I707" s="18"/>
      <c r="J707" s="18"/>
      <c r="K707" s="18"/>
      <c r="L707" s="18"/>
      <c r="M707" s="18"/>
      <c r="N707" s="18"/>
      <c r="O707" s="18"/>
      <c r="P707" s="18"/>
      <c r="Q707" s="18"/>
      <c r="W707" s="18"/>
      <c r="X707" s="18"/>
      <c r="Y707" s="18"/>
    </row>
    <row r="708" spans="6:25" ht="15.75" customHeight="1">
      <c r="F708" s="18"/>
      <c r="G708" s="18"/>
      <c r="I708" s="18"/>
      <c r="J708" s="18"/>
      <c r="K708" s="18"/>
      <c r="L708" s="18"/>
      <c r="M708" s="18"/>
      <c r="N708" s="18"/>
      <c r="O708" s="18"/>
      <c r="P708" s="18"/>
      <c r="Q708" s="18"/>
      <c r="W708" s="18"/>
      <c r="X708" s="18"/>
      <c r="Y708" s="18"/>
    </row>
    <row r="709" spans="6:25" ht="15.75" customHeight="1">
      <c r="F709" s="18"/>
      <c r="G709" s="18"/>
      <c r="I709" s="18"/>
      <c r="J709" s="18"/>
      <c r="K709" s="18"/>
      <c r="L709" s="18"/>
      <c r="M709" s="18"/>
      <c r="N709" s="18"/>
      <c r="O709" s="18"/>
      <c r="P709" s="18"/>
      <c r="Q709" s="18"/>
      <c r="W709" s="18"/>
      <c r="X709" s="18"/>
      <c r="Y709" s="18"/>
    </row>
    <row r="710" spans="6:25" ht="15.75" customHeight="1">
      <c r="F710" s="18"/>
      <c r="G710" s="18"/>
      <c r="I710" s="18"/>
      <c r="J710" s="18"/>
      <c r="K710" s="18"/>
      <c r="L710" s="18"/>
      <c r="M710" s="18"/>
      <c r="N710" s="18"/>
      <c r="O710" s="18"/>
      <c r="P710" s="18"/>
      <c r="Q710" s="18"/>
      <c r="W710" s="18"/>
      <c r="X710" s="18"/>
      <c r="Y710" s="18"/>
    </row>
    <row r="711" spans="6:25" ht="15.75" customHeight="1">
      <c r="F711" s="18"/>
      <c r="G711" s="18"/>
      <c r="I711" s="18"/>
      <c r="J711" s="18"/>
      <c r="K711" s="18"/>
      <c r="L711" s="18"/>
      <c r="M711" s="18"/>
      <c r="N711" s="18"/>
      <c r="O711" s="18"/>
      <c r="P711" s="18"/>
      <c r="Q711" s="18"/>
      <c r="W711" s="18"/>
      <c r="X711" s="18"/>
      <c r="Y711" s="18"/>
    </row>
    <row r="712" spans="6:25" ht="15.75" customHeight="1">
      <c r="F712" s="18"/>
      <c r="G712" s="18"/>
      <c r="I712" s="18"/>
      <c r="J712" s="18"/>
      <c r="K712" s="18"/>
      <c r="L712" s="18"/>
      <c r="M712" s="18"/>
      <c r="N712" s="18"/>
      <c r="O712" s="18"/>
      <c r="P712" s="18"/>
      <c r="Q712" s="18"/>
      <c r="W712" s="18"/>
      <c r="X712" s="18"/>
      <c r="Y712" s="18"/>
    </row>
    <row r="713" spans="6:25" ht="15.75" customHeight="1">
      <c r="F713" s="18"/>
      <c r="G713" s="18"/>
      <c r="I713" s="18"/>
      <c r="J713" s="18"/>
      <c r="K713" s="18"/>
      <c r="L713" s="18"/>
      <c r="M713" s="18"/>
      <c r="N713" s="18"/>
      <c r="O713" s="18"/>
      <c r="P713" s="18"/>
      <c r="Q713" s="18"/>
      <c r="W713" s="18"/>
      <c r="X713" s="18"/>
      <c r="Y713" s="18"/>
    </row>
    <row r="714" spans="6:25" ht="15.75" customHeight="1">
      <c r="F714" s="18"/>
      <c r="G714" s="18"/>
      <c r="I714" s="18"/>
      <c r="J714" s="18"/>
      <c r="K714" s="18"/>
      <c r="L714" s="18"/>
      <c r="M714" s="18"/>
      <c r="N714" s="18"/>
      <c r="O714" s="18"/>
      <c r="P714" s="18"/>
      <c r="Q714" s="18"/>
      <c r="W714" s="18"/>
      <c r="X714" s="18"/>
      <c r="Y714" s="18"/>
    </row>
    <row r="715" spans="6:25" ht="15.75" customHeight="1">
      <c r="F715" s="18"/>
      <c r="G715" s="18"/>
      <c r="I715" s="18"/>
      <c r="J715" s="18"/>
      <c r="K715" s="18"/>
      <c r="L715" s="18"/>
      <c r="M715" s="18"/>
      <c r="N715" s="18"/>
      <c r="O715" s="18"/>
      <c r="P715" s="18"/>
      <c r="Q715" s="18"/>
      <c r="W715" s="18"/>
      <c r="X715" s="18"/>
      <c r="Y715" s="18"/>
    </row>
    <row r="716" spans="6:25" ht="15.75" customHeight="1">
      <c r="F716" s="18"/>
      <c r="G716" s="18"/>
      <c r="I716" s="18"/>
      <c r="J716" s="18"/>
      <c r="K716" s="18"/>
      <c r="L716" s="18"/>
      <c r="M716" s="18"/>
      <c r="N716" s="18"/>
      <c r="O716" s="18"/>
      <c r="P716" s="18"/>
      <c r="Q716" s="18"/>
      <c r="W716" s="18"/>
      <c r="X716" s="18"/>
      <c r="Y716" s="18"/>
    </row>
    <row r="717" spans="6:25" ht="15.75" customHeight="1">
      <c r="F717" s="18"/>
      <c r="G717" s="18"/>
      <c r="I717" s="18"/>
      <c r="J717" s="18"/>
      <c r="K717" s="18"/>
      <c r="L717" s="18"/>
      <c r="M717" s="18"/>
      <c r="N717" s="18"/>
      <c r="O717" s="18"/>
      <c r="P717" s="18"/>
      <c r="Q717" s="18"/>
      <c r="W717" s="18"/>
      <c r="X717" s="18"/>
      <c r="Y717" s="18"/>
    </row>
    <row r="718" spans="6:25" ht="15.75" customHeight="1">
      <c r="F718" s="18"/>
      <c r="G718" s="18"/>
      <c r="I718" s="18"/>
      <c r="J718" s="18"/>
      <c r="K718" s="18"/>
      <c r="L718" s="18"/>
      <c r="M718" s="18"/>
      <c r="N718" s="18"/>
      <c r="O718" s="18"/>
      <c r="P718" s="18"/>
      <c r="Q718" s="18"/>
      <c r="W718" s="18"/>
      <c r="X718" s="18"/>
      <c r="Y718" s="18"/>
    </row>
    <row r="719" spans="6:25" ht="15.75" customHeight="1">
      <c r="F719" s="18"/>
      <c r="G719" s="18"/>
      <c r="I719" s="18"/>
      <c r="J719" s="18"/>
      <c r="K719" s="18"/>
      <c r="L719" s="18"/>
      <c r="M719" s="18"/>
      <c r="N719" s="18"/>
      <c r="O719" s="18"/>
      <c r="P719" s="18"/>
      <c r="Q719" s="18"/>
      <c r="W719" s="18"/>
      <c r="X719" s="18"/>
      <c r="Y719" s="18"/>
    </row>
    <row r="720" spans="6:25" ht="15.75" customHeight="1">
      <c r="F720" s="18"/>
      <c r="G720" s="18"/>
      <c r="I720" s="18"/>
      <c r="J720" s="18"/>
      <c r="K720" s="18"/>
      <c r="L720" s="18"/>
      <c r="M720" s="18"/>
      <c r="N720" s="18"/>
      <c r="O720" s="18"/>
      <c r="P720" s="18"/>
      <c r="Q720" s="18"/>
      <c r="W720" s="18"/>
      <c r="X720" s="18"/>
      <c r="Y720" s="18"/>
    </row>
    <row r="721" spans="6:25" ht="15.75" customHeight="1">
      <c r="F721" s="18"/>
      <c r="G721" s="18"/>
      <c r="I721" s="18"/>
      <c r="J721" s="18"/>
      <c r="K721" s="18"/>
      <c r="L721" s="18"/>
      <c r="M721" s="18"/>
      <c r="N721" s="18"/>
      <c r="O721" s="18"/>
      <c r="P721" s="18"/>
      <c r="Q721" s="18"/>
      <c r="W721" s="18"/>
      <c r="X721" s="18"/>
      <c r="Y721" s="18"/>
    </row>
    <row r="722" spans="6:25" ht="15.75" customHeight="1">
      <c r="F722" s="18"/>
      <c r="G722" s="18"/>
      <c r="I722" s="18"/>
      <c r="J722" s="18"/>
      <c r="K722" s="18"/>
      <c r="L722" s="18"/>
      <c r="M722" s="18"/>
      <c r="N722" s="18"/>
      <c r="O722" s="18"/>
      <c r="P722" s="18"/>
      <c r="Q722" s="18"/>
      <c r="W722" s="18"/>
      <c r="X722" s="18"/>
      <c r="Y722" s="18"/>
    </row>
    <row r="723" spans="6:25" ht="15.75" customHeight="1">
      <c r="F723" s="18"/>
      <c r="G723" s="18"/>
      <c r="I723" s="18"/>
      <c r="J723" s="18"/>
      <c r="K723" s="18"/>
      <c r="L723" s="18"/>
      <c r="M723" s="18"/>
      <c r="N723" s="18"/>
      <c r="O723" s="18"/>
      <c r="P723" s="18"/>
      <c r="Q723" s="18"/>
      <c r="W723" s="18"/>
      <c r="X723" s="18"/>
      <c r="Y723" s="18"/>
    </row>
    <row r="724" spans="6:25" ht="15.75" customHeight="1">
      <c r="F724" s="18"/>
      <c r="G724" s="18"/>
      <c r="I724" s="18"/>
      <c r="J724" s="18"/>
      <c r="K724" s="18"/>
      <c r="L724" s="18"/>
      <c r="M724" s="18"/>
      <c r="N724" s="18"/>
      <c r="O724" s="18"/>
      <c r="P724" s="18"/>
      <c r="Q724" s="18"/>
      <c r="W724" s="18"/>
      <c r="X724" s="18"/>
      <c r="Y724" s="18"/>
    </row>
    <row r="725" spans="6:25" ht="15.75" customHeight="1">
      <c r="F725" s="18"/>
      <c r="G725" s="18"/>
      <c r="I725" s="18"/>
      <c r="J725" s="18"/>
      <c r="K725" s="18"/>
      <c r="L725" s="18"/>
      <c r="M725" s="18"/>
      <c r="N725" s="18"/>
      <c r="O725" s="18"/>
      <c r="P725" s="18"/>
      <c r="Q725" s="18"/>
      <c r="W725" s="18"/>
      <c r="X725" s="18"/>
      <c r="Y725" s="18"/>
    </row>
    <row r="726" spans="6:25" ht="15.75" customHeight="1">
      <c r="F726" s="18"/>
      <c r="G726" s="18"/>
      <c r="I726" s="18"/>
      <c r="J726" s="18"/>
      <c r="K726" s="18"/>
      <c r="L726" s="18"/>
      <c r="M726" s="18"/>
      <c r="N726" s="18"/>
      <c r="O726" s="18"/>
      <c r="P726" s="18"/>
      <c r="Q726" s="18"/>
      <c r="W726" s="18"/>
      <c r="X726" s="18"/>
      <c r="Y726" s="18"/>
    </row>
    <row r="727" spans="6:25" ht="15.75" customHeight="1">
      <c r="F727" s="18"/>
      <c r="G727" s="18"/>
      <c r="I727" s="18"/>
      <c r="J727" s="18"/>
      <c r="K727" s="18"/>
      <c r="L727" s="18"/>
      <c r="M727" s="18"/>
      <c r="N727" s="18"/>
      <c r="O727" s="18"/>
      <c r="P727" s="18"/>
      <c r="Q727" s="18"/>
      <c r="W727" s="18"/>
      <c r="X727" s="18"/>
      <c r="Y727" s="18"/>
    </row>
    <row r="728" spans="6:25" ht="15.75" customHeight="1">
      <c r="F728" s="18"/>
      <c r="G728" s="18"/>
      <c r="I728" s="18"/>
      <c r="J728" s="18"/>
      <c r="K728" s="18"/>
      <c r="L728" s="18"/>
      <c r="M728" s="18"/>
      <c r="N728" s="18"/>
      <c r="O728" s="18"/>
      <c r="P728" s="18"/>
      <c r="Q728" s="18"/>
      <c r="W728" s="18"/>
      <c r="X728" s="18"/>
      <c r="Y728" s="18"/>
    </row>
    <row r="729" spans="6:25" ht="15.75" customHeight="1">
      <c r="F729" s="18"/>
      <c r="G729" s="18"/>
      <c r="I729" s="18"/>
      <c r="J729" s="18"/>
      <c r="K729" s="18"/>
      <c r="L729" s="18"/>
      <c r="M729" s="18"/>
      <c r="N729" s="18"/>
      <c r="O729" s="18"/>
      <c r="P729" s="18"/>
      <c r="Q729" s="18"/>
      <c r="W729" s="18"/>
      <c r="X729" s="18"/>
      <c r="Y729" s="18"/>
    </row>
    <row r="730" spans="6:25" ht="15.75" customHeight="1">
      <c r="F730" s="18"/>
      <c r="G730" s="18"/>
      <c r="I730" s="18"/>
      <c r="J730" s="18"/>
      <c r="K730" s="18"/>
      <c r="L730" s="18"/>
      <c r="M730" s="18"/>
      <c r="N730" s="18"/>
      <c r="O730" s="18"/>
      <c r="P730" s="18"/>
      <c r="Q730" s="18"/>
      <c r="W730" s="18"/>
      <c r="X730" s="18"/>
      <c r="Y730" s="18"/>
    </row>
    <row r="731" spans="6:25" ht="15.75" customHeight="1">
      <c r="F731" s="18"/>
      <c r="G731" s="18"/>
      <c r="I731" s="18"/>
      <c r="J731" s="18"/>
      <c r="K731" s="18"/>
      <c r="L731" s="18"/>
      <c r="M731" s="18"/>
      <c r="N731" s="18"/>
      <c r="O731" s="18"/>
      <c r="P731" s="18"/>
      <c r="Q731" s="18"/>
      <c r="W731" s="18"/>
      <c r="X731" s="18"/>
      <c r="Y731" s="18"/>
    </row>
    <row r="732" spans="6:25" ht="15.75" customHeight="1">
      <c r="F732" s="18"/>
      <c r="G732" s="18"/>
      <c r="I732" s="18"/>
      <c r="J732" s="18"/>
      <c r="K732" s="18"/>
      <c r="L732" s="18"/>
      <c r="M732" s="18"/>
      <c r="N732" s="18"/>
      <c r="O732" s="18"/>
      <c r="P732" s="18"/>
      <c r="Q732" s="18"/>
      <c r="W732" s="18"/>
      <c r="X732" s="18"/>
      <c r="Y732" s="18"/>
    </row>
    <row r="733" spans="6:25" ht="15.75" customHeight="1">
      <c r="F733" s="18"/>
      <c r="G733" s="18"/>
      <c r="I733" s="18"/>
      <c r="J733" s="18"/>
      <c r="K733" s="18"/>
      <c r="L733" s="18"/>
      <c r="M733" s="18"/>
      <c r="N733" s="18"/>
      <c r="O733" s="18"/>
      <c r="P733" s="18"/>
      <c r="Q733" s="18"/>
      <c r="W733" s="18"/>
      <c r="X733" s="18"/>
      <c r="Y733" s="18"/>
    </row>
    <row r="734" spans="6:25" ht="15.75" customHeight="1">
      <c r="F734" s="18"/>
      <c r="G734" s="18"/>
      <c r="I734" s="18"/>
      <c r="J734" s="18"/>
      <c r="K734" s="18"/>
      <c r="L734" s="18"/>
      <c r="M734" s="18"/>
      <c r="N734" s="18"/>
      <c r="O734" s="18"/>
      <c r="P734" s="18"/>
      <c r="Q734" s="18"/>
      <c r="W734" s="18"/>
      <c r="X734" s="18"/>
      <c r="Y734" s="18"/>
    </row>
    <row r="735" spans="6:25" ht="15.75" customHeight="1">
      <c r="F735" s="18"/>
      <c r="G735" s="18"/>
      <c r="I735" s="18"/>
      <c r="J735" s="18"/>
      <c r="K735" s="18"/>
      <c r="L735" s="18"/>
      <c r="M735" s="18"/>
      <c r="N735" s="18"/>
      <c r="O735" s="18"/>
      <c r="P735" s="18"/>
      <c r="Q735" s="18"/>
      <c r="W735" s="18"/>
      <c r="X735" s="18"/>
      <c r="Y735" s="18"/>
    </row>
    <row r="736" spans="6:25" ht="15.75" customHeight="1">
      <c r="F736" s="18"/>
      <c r="G736" s="18"/>
      <c r="I736" s="18"/>
      <c r="J736" s="18"/>
      <c r="K736" s="18"/>
      <c r="L736" s="18"/>
      <c r="M736" s="18"/>
      <c r="N736" s="18"/>
      <c r="O736" s="18"/>
      <c r="P736" s="18"/>
      <c r="Q736" s="18"/>
      <c r="W736" s="18"/>
      <c r="X736" s="18"/>
      <c r="Y736" s="18"/>
    </row>
    <row r="737" spans="6:25" ht="15.75" customHeight="1">
      <c r="F737" s="18"/>
      <c r="G737" s="18"/>
      <c r="I737" s="18"/>
      <c r="J737" s="18"/>
      <c r="K737" s="18"/>
      <c r="L737" s="18"/>
      <c r="M737" s="18"/>
      <c r="N737" s="18"/>
      <c r="O737" s="18"/>
      <c r="P737" s="18"/>
      <c r="Q737" s="18"/>
      <c r="W737" s="18"/>
      <c r="X737" s="18"/>
      <c r="Y737" s="18"/>
    </row>
    <row r="738" spans="6:25" ht="15.75" customHeight="1">
      <c r="F738" s="18"/>
      <c r="G738" s="18"/>
      <c r="I738" s="18"/>
      <c r="J738" s="18"/>
      <c r="K738" s="18"/>
      <c r="L738" s="18"/>
      <c r="M738" s="18"/>
      <c r="N738" s="18"/>
      <c r="O738" s="18"/>
      <c r="P738" s="18"/>
      <c r="Q738" s="18"/>
      <c r="W738" s="18"/>
      <c r="X738" s="18"/>
      <c r="Y738" s="18"/>
    </row>
    <row r="739" spans="6:25" ht="15.75" customHeight="1">
      <c r="F739" s="18"/>
      <c r="G739" s="18"/>
      <c r="I739" s="18"/>
      <c r="J739" s="18"/>
      <c r="K739" s="18"/>
      <c r="L739" s="18"/>
      <c r="M739" s="18"/>
      <c r="N739" s="18"/>
      <c r="O739" s="18"/>
      <c r="P739" s="18"/>
      <c r="Q739" s="18"/>
      <c r="W739" s="18"/>
      <c r="X739" s="18"/>
      <c r="Y739" s="18"/>
    </row>
    <row r="740" spans="6:25" ht="15.75" customHeight="1">
      <c r="F740" s="18"/>
      <c r="G740" s="18"/>
      <c r="I740" s="18"/>
      <c r="J740" s="18"/>
      <c r="K740" s="18"/>
      <c r="L740" s="18"/>
      <c r="M740" s="18"/>
      <c r="N740" s="18"/>
      <c r="O740" s="18"/>
      <c r="P740" s="18"/>
      <c r="Q740" s="18"/>
      <c r="W740" s="18"/>
      <c r="X740" s="18"/>
      <c r="Y740" s="18"/>
    </row>
    <row r="741" spans="6:25" ht="15.75" customHeight="1">
      <c r="F741" s="18"/>
      <c r="G741" s="18"/>
      <c r="I741" s="18"/>
      <c r="J741" s="18"/>
      <c r="K741" s="18"/>
      <c r="L741" s="18"/>
      <c r="M741" s="18"/>
      <c r="N741" s="18"/>
      <c r="O741" s="18"/>
      <c r="P741" s="18"/>
      <c r="Q741" s="18"/>
      <c r="W741" s="18"/>
      <c r="X741" s="18"/>
      <c r="Y741" s="18"/>
    </row>
    <row r="742" spans="6:25" ht="15.75" customHeight="1">
      <c r="F742" s="18"/>
      <c r="G742" s="18"/>
      <c r="I742" s="18"/>
      <c r="J742" s="18"/>
      <c r="K742" s="18"/>
      <c r="L742" s="18"/>
      <c r="M742" s="18"/>
      <c r="N742" s="18"/>
      <c r="O742" s="18"/>
      <c r="P742" s="18"/>
      <c r="Q742" s="18"/>
      <c r="W742" s="18"/>
      <c r="X742" s="18"/>
      <c r="Y742" s="18"/>
    </row>
    <row r="743" spans="6:25" ht="15.75" customHeight="1">
      <c r="F743" s="18"/>
      <c r="G743" s="18"/>
      <c r="I743" s="18"/>
      <c r="J743" s="18"/>
      <c r="K743" s="18"/>
      <c r="L743" s="18"/>
      <c r="M743" s="18"/>
      <c r="N743" s="18"/>
      <c r="O743" s="18"/>
      <c r="P743" s="18"/>
      <c r="Q743" s="18"/>
      <c r="W743" s="18"/>
      <c r="X743" s="18"/>
      <c r="Y743" s="18"/>
    </row>
    <row r="744" spans="6:25" ht="15.75" customHeight="1">
      <c r="F744" s="18"/>
      <c r="G744" s="18"/>
      <c r="I744" s="18"/>
      <c r="J744" s="18"/>
      <c r="K744" s="18"/>
      <c r="L744" s="18"/>
      <c r="M744" s="18"/>
      <c r="N744" s="18"/>
      <c r="O744" s="18"/>
      <c r="P744" s="18"/>
      <c r="Q744" s="18"/>
      <c r="W744" s="18"/>
      <c r="X744" s="18"/>
      <c r="Y744" s="18"/>
    </row>
    <row r="745" spans="6:25" ht="15.75" customHeight="1">
      <c r="F745" s="18"/>
      <c r="G745" s="18"/>
      <c r="I745" s="18"/>
      <c r="J745" s="18"/>
      <c r="K745" s="18"/>
      <c r="L745" s="18"/>
      <c r="M745" s="18"/>
      <c r="N745" s="18"/>
      <c r="O745" s="18"/>
      <c r="P745" s="18"/>
      <c r="Q745" s="18"/>
      <c r="W745" s="18"/>
      <c r="X745" s="18"/>
      <c r="Y745" s="18"/>
    </row>
    <row r="746" spans="6:25" ht="15.75" customHeight="1">
      <c r="F746" s="18"/>
      <c r="G746" s="18"/>
      <c r="I746" s="18"/>
      <c r="J746" s="18"/>
      <c r="K746" s="18"/>
      <c r="L746" s="18"/>
      <c r="M746" s="18"/>
      <c r="N746" s="18"/>
      <c r="O746" s="18"/>
      <c r="P746" s="18"/>
      <c r="Q746" s="18"/>
      <c r="W746" s="18"/>
      <c r="X746" s="18"/>
      <c r="Y746" s="18"/>
    </row>
    <row r="747" spans="6:25" ht="15.75" customHeight="1">
      <c r="F747" s="18"/>
      <c r="G747" s="18"/>
      <c r="I747" s="18"/>
      <c r="J747" s="18"/>
      <c r="K747" s="18"/>
      <c r="L747" s="18"/>
      <c r="M747" s="18"/>
      <c r="N747" s="18"/>
      <c r="O747" s="18"/>
      <c r="P747" s="18"/>
      <c r="Q747" s="18"/>
      <c r="W747" s="18"/>
      <c r="X747" s="18"/>
      <c r="Y747" s="18"/>
    </row>
    <row r="748" spans="6:25" ht="15.75" customHeight="1">
      <c r="F748" s="18"/>
      <c r="G748" s="18"/>
      <c r="I748" s="18"/>
      <c r="J748" s="18"/>
      <c r="K748" s="18"/>
      <c r="L748" s="18"/>
      <c r="M748" s="18"/>
      <c r="N748" s="18"/>
      <c r="O748" s="18"/>
      <c r="P748" s="18"/>
      <c r="Q748" s="18"/>
      <c r="W748" s="18"/>
      <c r="X748" s="18"/>
      <c r="Y748" s="18"/>
    </row>
    <row r="749" spans="6:25" ht="15.75" customHeight="1">
      <c r="F749" s="18"/>
      <c r="G749" s="18"/>
      <c r="I749" s="18"/>
      <c r="J749" s="18"/>
      <c r="K749" s="18"/>
      <c r="L749" s="18"/>
      <c r="M749" s="18"/>
      <c r="N749" s="18"/>
      <c r="O749" s="18"/>
      <c r="P749" s="18"/>
      <c r="Q749" s="18"/>
      <c r="W749" s="18"/>
      <c r="X749" s="18"/>
      <c r="Y749" s="18"/>
    </row>
    <row r="750" spans="6:25" ht="15.75" customHeight="1">
      <c r="F750" s="18"/>
      <c r="G750" s="18"/>
      <c r="I750" s="18"/>
      <c r="J750" s="18"/>
      <c r="K750" s="18"/>
      <c r="L750" s="18"/>
      <c r="M750" s="18"/>
      <c r="N750" s="18"/>
      <c r="O750" s="18"/>
      <c r="P750" s="18"/>
      <c r="Q750" s="18"/>
      <c r="W750" s="18"/>
      <c r="X750" s="18"/>
      <c r="Y750" s="18"/>
    </row>
    <row r="751" spans="6:25" ht="15.75" customHeight="1">
      <c r="F751" s="18"/>
      <c r="G751" s="18"/>
      <c r="I751" s="18"/>
      <c r="J751" s="18"/>
      <c r="K751" s="18"/>
      <c r="L751" s="18"/>
      <c r="M751" s="18"/>
      <c r="N751" s="18"/>
      <c r="O751" s="18"/>
      <c r="P751" s="18"/>
      <c r="Q751" s="18"/>
      <c r="W751" s="18"/>
      <c r="X751" s="18"/>
      <c r="Y751" s="18"/>
    </row>
    <row r="752" spans="6:25" ht="15.75" customHeight="1">
      <c r="F752" s="18"/>
      <c r="G752" s="18"/>
      <c r="I752" s="18"/>
      <c r="J752" s="18"/>
      <c r="K752" s="18"/>
      <c r="L752" s="18"/>
      <c r="M752" s="18"/>
      <c r="N752" s="18"/>
      <c r="O752" s="18"/>
      <c r="P752" s="18"/>
      <c r="Q752" s="18"/>
      <c r="W752" s="18"/>
      <c r="X752" s="18"/>
      <c r="Y752" s="18"/>
    </row>
    <row r="753" spans="6:25" ht="15.75" customHeight="1">
      <c r="F753" s="18"/>
      <c r="G753" s="18"/>
      <c r="I753" s="18"/>
      <c r="J753" s="18"/>
      <c r="K753" s="18"/>
      <c r="L753" s="18"/>
      <c r="M753" s="18"/>
      <c r="N753" s="18"/>
      <c r="O753" s="18"/>
      <c r="P753" s="18"/>
      <c r="Q753" s="18"/>
      <c r="W753" s="18"/>
      <c r="X753" s="18"/>
      <c r="Y753" s="18"/>
    </row>
    <row r="754" spans="6:25" ht="15.75" customHeight="1">
      <c r="F754" s="18"/>
      <c r="G754" s="18"/>
      <c r="I754" s="18"/>
      <c r="J754" s="18"/>
      <c r="K754" s="18"/>
      <c r="L754" s="18"/>
      <c r="M754" s="18"/>
      <c r="N754" s="18"/>
      <c r="O754" s="18"/>
      <c r="P754" s="18"/>
      <c r="Q754" s="18"/>
      <c r="W754" s="18"/>
      <c r="X754" s="18"/>
      <c r="Y754" s="18"/>
    </row>
    <row r="755" spans="6:25" ht="15.75" customHeight="1">
      <c r="F755" s="18"/>
      <c r="G755" s="18"/>
      <c r="I755" s="18"/>
      <c r="J755" s="18"/>
      <c r="K755" s="18"/>
      <c r="L755" s="18"/>
      <c r="M755" s="18"/>
      <c r="N755" s="18"/>
      <c r="O755" s="18"/>
      <c r="P755" s="18"/>
      <c r="Q755" s="18"/>
      <c r="W755" s="18"/>
      <c r="X755" s="18"/>
      <c r="Y755" s="18"/>
    </row>
    <row r="756" spans="6:25" ht="15.75" customHeight="1">
      <c r="F756" s="18"/>
      <c r="G756" s="18"/>
      <c r="I756" s="18"/>
      <c r="J756" s="18"/>
      <c r="K756" s="18"/>
      <c r="L756" s="18"/>
      <c r="M756" s="18"/>
      <c r="N756" s="18"/>
      <c r="O756" s="18"/>
      <c r="P756" s="18"/>
      <c r="Q756" s="18"/>
      <c r="W756" s="18"/>
      <c r="X756" s="18"/>
      <c r="Y756" s="18"/>
    </row>
    <row r="757" spans="6:25" ht="15.75" customHeight="1">
      <c r="F757" s="18"/>
      <c r="G757" s="18"/>
      <c r="I757" s="18"/>
      <c r="J757" s="18"/>
      <c r="K757" s="18"/>
      <c r="L757" s="18"/>
      <c r="M757" s="18"/>
      <c r="N757" s="18"/>
      <c r="O757" s="18"/>
      <c r="P757" s="18"/>
      <c r="Q757" s="18"/>
      <c r="W757" s="18"/>
      <c r="X757" s="18"/>
      <c r="Y757" s="18"/>
    </row>
    <row r="758" spans="6:25" ht="15.75" customHeight="1">
      <c r="F758" s="18"/>
      <c r="G758" s="18"/>
      <c r="I758" s="18"/>
      <c r="J758" s="18"/>
      <c r="K758" s="18"/>
      <c r="L758" s="18"/>
      <c r="M758" s="18"/>
      <c r="N758" s="18"/>
      <c r="O758" s="18"/>
      <c r="P758" s="18"/>
      <c r="Q758" s="18"/>
      <c r="W758" s="18"/>
      <c r="X758" s="18"/>
      <c r="Y758" s="18"/>
    </row>
    <row r="759" spans="6:25" ht="15.75" customHeight="1">
      <c r="F759" s="18"/>
      <c r="G759" s="18"/>
      <c r="I759" s="18"/>
      <c r="J759" s="18"/>
      <c r="K759" s="18"/>
      <c r="L759" s="18"/>
      <c r="M759" s="18"/>
      <c r="N759" s="18"/>
      <c r="O759" s="18"/>
      <c r="P759" s="18"/>
      <c r="Q759" s="18"/>
      <c r="W759" s="18"/>
      <c r="X759" s="18"/>
      <c r="Y759" s="18"/>
    </row>
    <row r="760" spans="6:25" ht="15.75" customHeight="1">
      <c r="F760" s="18"/>
      <c r="G760" s="18"/>
      <c r="I760" s="18"/>
      <c r="J760" s="18"/>
      <c r="K760" s="18"/>
      <c r="L760" s="18"/>
      <c r="M760" s="18"/>
      <c r="N760" s="18"/>
      <c r="O760" s="18"/>
      <c r="P760" s="18"/>
      <c r="Q760" s="18"/>
      <c r="W760" s="18"/>
      <c r="X760" s="18"/>
      <c r="Y760" s="18"/>
    </row>
    <row r="761" spans="6:25" ht="15.75" customHeight="1">
      <c r="F761" s="18"/>
      <c r="G761" s="18"/>
      <c r="I761" s="18"/>
      <c r="J761" s="18"/>
      <c r="K761" s="18"/>
      <c r="L761" s="18"/>
      <c r="M761" s="18"/>
      <c r="N761" s="18"/>
      <c r="O761" s="18"/>
      <c r="P761" s="18"/>
      <c r="Q761" s="18"/>
      <c r="W761" s="18"/>
      <c r="X761" s="18"/>
      <c r="Y761" s="18"/>
    </row>
    <row r="762" spans="6:25" ht="15.75" customHeight="1">
      <c r="F762" s="18"/>
      <c r="G762" s="18"/>
      <c r="I762" s="18"/>
      <c r="J762" s="18"/>
      <c r="K762" s="18"/>
      <c r="L762" s="18"/>
      <c r="M762" s="18"/>
      <c r="N762" s="18"/>
      <c r="O762" s="18"/>
      <c r="P762" s="18"/>
      <c r="Q762" s="18"/>
      <c r="W762" s="18"/>
      <c r="X762" s="18"/>
      <c r="Y762" s="18"/>
    </row>
    <row r="763" spans="6:25" ht="15.75" customHeight="1">
      <c r="F763" s="18"/>
      <c r="G763" s="18"/>
      <c r="I763" s="18"/>
      <c r="J763" s="18"/>
      <c r="K763" s="18"/>
      <c r="L763" s="18"/>
      <c r="M763" s="18"/>
      <c r="N763" s="18"/>
      <c r="O763" s="18"/>
      <c r="P763" s="18"/>
      <c r="Q763" s="18"/>
      <c r="W763" s="18"/>
      <c r="X763" s="18"/>
      <c r="Y763" s="18"/>
    </row>
    <row r="764" spans="6:25" ht="15.75" customHeight="1">
      <c r="F764" s="18"/>
      <c r="G764" s="18"/>
      <c r="I764" s="18"/>
      <c r="J764" s="18"/>
      <c r="K764" s="18"/>
      <c r="L764" s="18"/>
      <c r="M764" s="18"/>
      <c r="N764" s="18"/>
      <c r="O764" s="18"/>
      <c r="P764" s="18"/>
      <c r="Q764" s="18"/>
      <c r="W764" s="18"/>
      <c r="X764" s="18"/>
      <c r="Y764" s="18"/>
    </row>
    <row r="765" spans="6:25" ht="15.75" customHeight="1">
      <c r="F765" s="18"/>
      <c r="G765" s="18"/>
      <c r="I765" s="18"/>
      <c r="J765" s="18"/>
      <c r="K765" s="18"/>
      <c r="L765" s="18"/>
      <c r="M765" s="18"/>
      <c r="N765" s="18"/>
      <c r="O765" s="18"/>
      <c r="P765" s="18"/>
      <c r="Q765" s="18"/>
      <c r="W765" s="18"/>
      <c r="X765" s="18"/>
      <c r="Y765" s="18"/>
    </row>
    <row r="766" spans="6:25" ht="15.75" customHeight="1">
      <c r="F766" s="18"/>
      <c r="G766" s="18"/>
      <c r="I766" s="18"/>
      <c r="J766" s="18"/>
      <c r="K766" s="18"/>
      <c r="L766" s="18"/>
      <c r="M766" s="18"/>
      <c r="N766" s="18"/>
      <c r="O766" s="18"/>
      <c r="P766" s="18"/>
      <c r="Q766" s="18"/>
      <c r="W766" s="18"/>
      <c r="X766" s="18"/>
      <c r="Y766" s="18"/>
    </row>
    <row r="767" spans="6:25" ht="15.75" customHeight="1">
      <c r="F767" s="18"/>
      <c r="G767" s="18"/>
      <c r="I767" s="18"/>
      <c r="J767" s="18"/>
      <c r="K767" s="18"/>
      <c r="L767" s="18"/>
      <c r="M767" s="18"/>
      <c r="N767" s="18"/>
      <c r="O767" s="18"/>
      <c r="P767" s="18"/>
      <c r="Q767" s="18"/>
      <c r="W767" s="18"/>
      <c r="X767" s="18"/>
      <c r="Y767" s="18"/>
    </row>
    <row r="768" spans="6:25" ht="15.75" customHeight="1">
      <c r="F768" s="18"/>
      <c r="G768" s="18"/>
      <c r="I768" s="18"/>
      <c r="J768" s="18"/>
      <c r="K768" s="18"/>
      <c r="L768" s="18"/>
      <c r="M768" s="18"/>
      <c r="N768" s="18"/>
      <c r="O768" s="18"/>
      <c r="P768" s="18"/>
      <c r="Q768" s="18"/>
      <c r="W768" s="18"/>
      <c r="X768" s="18"/>
      <c r="Y768" s="18"/>
    </row>
    <row r="769" spans="6:25" ht="15.75" customHeight="1">
      <c r="F769" s="18"/>
      <c r="G769" s="18"/>
      <c r="I769" s="18"/>
      <c r="J769" s="18"/>
      <c r="K769" s="18"/>
      <c r="L769" s="18"/>
      <c r="M769" s="18"/>
      <c r="N769" s="18"/>
      <c r="O769" s="18"/>
      <c r="P769" s="18"/>
      <c r="Q769" s="18"/>
      <c r="W769" s="18"/>
      <c r="X769" s="18"/>
      <c r="Y769" s="18"/>
    </row>
    <row r="770" spans="6:25" ht="15.75" customHeight="1">
      <c r="F770" s="18"/>
      <c r="G770" s="18"/>
      <c r="I770" s="18"/>
      <c r="J770" s="18"/>
      <c r="K770" s="18"/>
      <c r="L770" s="18"/>
      <c r="M770" s="18"/>
      <c r="N770" s="18"/>
      <c r="O770" s="18"/>
      <c r="P770" s="18"/>
      <c r="Q770" s="18"/>
      <c r="W770" s="18"/>
      <c r="X770" s="18"/>
      <c r="Y770" s="18"/>
    </row>
    <row r="771" spans="6:25" ht="15.75" customHeight="1">
      <c r="F771" s="18"/>
      <c r="G771" s="18"/>
      <c r="I771" s="18"/>
      <c r="J771" s="18"/>
      <c r="K771" s="18"/>
      <c r="L771" s="18"/>
      <c r="M771" s="18"/>
      <c r="N771" s="18"/>
      <c r="O771" s="18"/>
      <c r="P771" s="18"/>
      <c r="Q771" s="18"/>
      <c r="W771" s="18"/>
      <c r="X771" s="18"/>
      <c r="Y771" s="18"/>
    </row>
    <row r="772" spans="6:25" ht="15.75" customHeight="1">
      <c r="F772" s="18"/>
      <c r="G772" s="18"/>
      <c r="I772" s="18"/>
      <c r="J772" s="18"/>
      <c r="K772" s="18"/>
      <c r="L772" s="18"/>
      <c r="M772" s="18"/>
      <c r="N772" s="18"/>
      <c r="O772" s="18"/>
      <c r="P772" s="18"/>
      <c r="Q772" s="18"/>
      <c r="W772" s="18"/>
      <c r="X772" s="18"/>
      <c r="Y772" s="18"/>
    </row>
    <row r="773" spans="6:25" ht="15.75" customHeight="1">
      <c r="F773" s="18"/>
      <c r="G773" s="18"/>
      <c r="I773" s="18"/>
      <c r="J773" s="18"/>
      <c r="K773" s="18"/>
      <c r="L773" s="18"/>
      <c r="M773" s="18"/>
      <c r="N773" s="18"/>
      <c r="O773" s="18"/>
      <c r="P773" s="18"/>
      <c r="Q773" s="18"/>
      <c r="W773" s="18"/>
      <c r="X773" s="18"/>
      <c r="Y773" s="18"/>
    </row>
    <row r="774" spans="6:25" ht="15.75" customHeight="1">
      <c r="F774" s="18"/>
      <c r="G774" s="18"/>
      <c r="I774" s="18"/>
      <c r="J774" s="18"/>
      <c r="K774" s="18"/>
      <c r="L774" s="18"/>
      <c r="M774" s="18"/>
      <c r="N774" s="18"/>
      <c r="O774" s="18"/>
      <c r="P774" s="18"/>
      <c r="Q774" s="18"/>
      <c r="W774" s="18"/>
      <c r="X774" s="18"/>
      <c r="Y774" s="18"/>
    </row>
    <row r="775" spans="6:25" ht="15.75" customHeight="1">
      <c r="F775" s="18"/>
      <c r="G775" s="18"/>
      <c r="I775" s="18"/>
      <c r="J775" s="18"/>
      <c r="K775" s="18"/>
      <c r="L775" s="18"/>
      <c r="M775" s="18"/>
      <c r="N775" s="18"/>
      <c r="O775" s="18"/>
      <c r="P775" s="18"/>
      <c r="Q775" s="18"/>
      <c r="W775" s="18"/>
      <c r="X775" s="18"/>
      <c r="Y775" s="18"/>
    </row>
    <row r="776" spans="6:25" ht="15.75" customHeight="1">
      <c r="F776" s="18"/>
      <c r="G776" s="18"/>
      <c r="I776" s="18"/>
      <c r="J776" s="18"/>
      <c r="K776" s="18"/>
      <c r="L776" s="18"/>
      <c r="M776" s="18"/>
      <c r="N776" s="18"/>
      <c r="O776" s="18"/>
      <c r="P776" s="18"/>
      <c r="Q776" s="18"/>
      <c r="W776" s="18"/>
      <c r="X776" s="18"/>
      <c r="Y776" s="18"/>
    </row>
    <row r="777" spans="6:25" ht="15.75" customHeight="1">
      <c r="F777" s="18"/>
      <c r="G777" s="18"/>
      <c r="I777" s="18"/>
      <c r="J777" s="18"/>
      <c r="K777" s="18"/>
      <c r="L777" s="18"/>
      <c r="M777" s="18"/>
      <c r="N777" s="18"/>
      <c r="O777" s="18"/>
      <c r="P777" s="18"/>
      <c r="Q777" s="18"/>
      <c r="W777" s="18"/>
      <c r="X777" s="18"/>
      <c r="Y777" s="18"/>
    </row>
    <row r="778" spans="6:25" ht="15.75" customHeight="1">
      <c r="F778" s="18"/>
      <c r="G778" s="18"/>
      <c r="I778" s="18"/>
      <c r="J778" s="18"/>
      <c r="K778" s="18"/>
      <c r="L778" s="18"/>
      <c r="M778" s="18"/>
      <c r="N778" s="18"/>
      <c r="O778" s="18"/>
      <c r="P778" s="18"/>
      <c r="Q778" s="18"/>
      <c r="W778" s="18"/>
      <c r="X778" s="18"/>
      <c r="Y778" s="18"/>
    </row>
    <row r="779" spans="6:25" ht="15.75" customHeight="1">
      <c r="F779" s="18"/>
      <c r="G779" s="18"/>
      <c r="I779" s="18"/>
      <c r="J779" s="18"/>
      <c r="K779" s="18"/>
      <c r="L779" s="18"/>
      <c r="M779" s="18"/>
      <c r="N779" s="18"/>
      <c r="O779" s="18"/>
      <c r="P779" s="18"/>
      <c r="Q779" s="18"/>
      <c r="W779" s="18"/>
      <c r="X779" s="18"/>
      <c r="Y779" s="18"/>
    </row>
    <row r="780" spans="6:25" ht="15.75" customHeight="1">
      <c r="F780" s="18"/>
      <c r="G780" s="18"/>
      <c r="I780" s="18"/>
      <c r="J780" s="18"/>
      <c r="K780" s="18"/>
      <c r="L780" s="18"/>
      <c r="M780" s="18"/>
      <c r="N780" s="18"/>
      <c r="O780" s="18"/>
      <c r="P780" s="18"/>
      <c r="Q780" s="18"/>
      <c r="W780" s="18"/>
      <c r="X780" s="18"/>
      <c r="Y780" s="18"/>
    </row>
    <row r="781" spans="6:25" ht="15.75" customHeight="1">
      <c r="F781" s="18"/>
      <c r="G781" s="18"/>
      <c r="I781" s="18"/>
      <c r="J781" s="18"/>
      <c r="K781" s="18"/>
      <c r="L781" s="18"/>
      <c r="M781" s="18"/>
      <c r="N781" s="18"/>
      <c r="O781" s="18"/>
      <c r="P781" s="18"/>
      <c r="Q781" s="18"/>
      <c r="W781" s="18"/>
      <c r="X781" s="18"/>
      <c r="Y781" s="18"/>
    </row>
    <row r="782" spans="6:25" ht="15.75" customHeight="1">
      <c r="F782" s="18"/>
      <c r="G782" s="18"/>
      <c r="I782" s="18"/>
      <c r="J782" s="18"/>
      <c r="K782" s="18"/>
      <c r="L782" s="18"/>
      <c r="M782" s="18"/>
      <c r="N782" s="18"/>
      <c r="O782" s="18"/>
      <c r="P782" s="18"/>
      <c r="Q782" s="18"/>
      <c r="W782" s="18"/>
      <c r="X782" s="18"/>
      <c r="Y782" s="18"/>
    </row>
    <row r="783" spans="6:25" ht="15.75" customHeight="1">
      <c r="F783" s="18"/>
      <c r="G783" s="18"/>
      <c r="I783" s="18"/>
      <c r="J783" s="18"/>
      <c r="K783" s="18"/>
      <c r="L783" s="18"/>
      <c r="M783" s="18"/>
      <c r="N783" s="18"/>
      <c r="O783" s="18"/>
      <c r="P783" s="18"/>
      <c r="Q783" s="18"/>
      <c r="W783" s="18"/>
      <c r="X783" s="18"/>
      <c r="Y783" s="18"/>
    </row>
    <row r="784" spans="6:25" ht="15.75" customHeight="1">
      <c r="F784" s="18"/>
      <c r="G784" s="18"/>
      <c r="I784" s="18"/>
      <c r="J784" s="18"/>
      <c r="K784" s="18"/>
      <c r="L784" s="18"/>
      <c r="M784" s="18"/>
      <c r="N784" s="18"/>
      <c r="O784" s="18"/>
      <c r="P784" s="18"/>
      <c r="Q784" s="18"/>
      <c r="W784" s="18"/>
      <c r="X784" s="18"/>
      <c r="Y784" s="18"/>
    </row>
    <row r="785" spans="6:25" ht="15.75" customHeight="1">
      <c r="F785" s="18"/>
      <c r="G785" s="18"/>
      <c r="I785" s="18"/>
      <c r="J785" s="18"/>
      <c r="K785" s="18"/>
      <c r="L785" s="18"/>
      <c r="M785" s="18"/>
      <c r="N785" s="18"/>
      <c r="O785" s="18"/>
      <c r="P785" s="18"/>
      <c r="Q785" s="18"/>
      <c r="W785" s="18"/>
      <c r="X785" s="18"/>
      <c r="Y785" s="18"/>
    </row>
    <row r="786" spans="6:25" ht="15.75" customHeight="1">
      <c r="F786" s="18"/>
      <c r="G786" s="18"/>
      <c r="I786" s="18"/>
      <c r="J786" s="18"/>
      <c r="K786" s="18"/>
      <c r="L786" s="18"/>
      <c r="M786" s="18"/>
      <c r="N786" s="18"/>
      <c r="O786" s="18"/>
      <c r="P786" s="18"/>
      <c r="Q786" s="18"/>
      <c r="W786" s="18"/>
      <c r="X786" s="18"/>
      <c r="Y786" s="18"/>
    </row>
    <row r="787" spans="6:25" ht="15.75" customHeight="1">
      <c r="F787" s="18"/>
      <c r="G787" s="18"/>
      <c r="I787" s="18"/>
      <c r="J787" s="18"/>
      <c r="K787" s="18"/>
      <c r="L787" s="18"/>
      <c r="M787" s="18"/>
      <c r="N787" s="18"/>
      <c r="O787" s="18"/>
      <c r="P787" s="18"/>
      <c r="Q787" s="18"/>
      <c r="W787" s="18"/>
      <c r="X787" s="18"/>
      <c r="Y787" s="18"/>
    </row>
    <row r="788" spans="6:25" ht="15.75" customHeight="1">
      <c r="F788" s="18"/>
      <c r="G788" s="18"/>
      <c r="I788" s="18"/>
      <c r="J788" s="18"/>
      <c r="K788" s="18"/>
      <c r="L788" s="18"/>
      <c r="M788" s="18"/>
      <c r="N788" s="18"/>
      <c r="O788" s="18"/>
      <c r="P788" s="18"/>
      <c r="Q788" s="18"/>
      <c r="W788" s="18"/>
      <c r="X788" s="18"/>
      <c r="Y788" s="18"/>
    </row>
    <row r="789" spans="6:25" ht="15.75" customHeight="1">
      <c r="F789" s="18"/>
      <c r="G789" s="18"/>
      <c r="I789" s="18"/>
      <c r="J789" s="18"/>
      <c r="K789" s="18"/>
      <c r="L789" s="18"/>
      <c r="M789" s="18"/>
      <c r="N789" s="18"/>
      <c r="O789" s="18"/>
      <c r="P789" s="18"/>
      <c r="Q789" s="18"/>
      <c r="W789" s="18"/>
      <c r="X789" s="18"/>
      <c r="Y789" s="18"/>
    </row>
    <row r="790" spans="6:25" ht="15.75" customHeight="1">
      <c r="F790" s="18"/>
      <c r="G790" s="18"/>
      <c r="I790" s="18"/>
      <c r="J790" s="18"/>
      <c r="K790" s="18"/>
      <c r="L790" s="18"/>
      <c r="M790" s="18"/>
      <c r="N790" s="18"/>
      <c r="O790" s="18"/>
      <c r="P790" s="18"/>
      <c r="Q790" s="18"/>
      <c r="W790" s="18"/>
      <c r="X790" s="18"/>
      <c r="Y790" s="18"/>
    </row>
    <row r="791" spans="6:25" ht="15.75" customHeight="1">
      <c r="F791" s="18"/>
      <c r="G791" s="18"/>
      <c r="I791" s="18"/>
      <c r="J791" s="18"/>
      <c r="K791" s="18"/>
      <c r="L791" s="18"/>
      <c r="M791" s="18"/>
      <c r="N791" s="18"/>
      <c r="O791" s="18"/>
      <c r="P791" s="18"/>
      <c r="Q791" s="18"/>
      <c r="W791" s="18"/>
      <c r="X791" s="18"/>
      <c r="Y791" s="18"/>
    </row>
    <row r="792" spans="6:25" ht="15.75" customHeight="1">
      <c r="F792" s="18"/>
      <c r="G792" s="18"/>
      <c r="I792" s="18"/>
      <c r="J792" s="18"/>
      <c r="K792" s="18"/>
      <c r="L792" s="18"/>
      <c r="M792" s="18"/>
      <c r="N792" s="18"/>
      <c r="O792" s="18"/>
      <c r="P792" s="18"/>
      <c r="Q792" s="18"/>
      <c r="W792" s="18"/>
      <c r="X792" s="18"/>
      <c r="Y792" s="18"/>
    </row>
    <row r="793" spans="6:25" ht="15.75" customHeight="1">
      <c r="F793" s="18"/>
      <c r="G793" s="18"/>
      <c r="I793" s="18"/>
      <c r="J793" s="18"/>
      <c r="K793" s="18"/>
      <c r="L793" s="18"/>
      <c r="M793" s="18"/>
      <c r="N793" s="18"/>
      <c r="O793" s="18"/>
      <c r="P793" s="18"/>
      <c r="Q793" s="18"/>
      <c r="W793" s="18"/>
      <c r="X793" s="18"/>
      <c r="Y793" s="18"/>
    </row>
    <row r="794" spans="6:25" ht="15.75" customHeight="1">
      <c r="F794" s="18"/>
      <c r="G794" s="18"/>
      <c r="I794" s="18"/>
      <c r="J794" s="18"/>
      <c r="K794" s="18"/>
      <c r="L794" s="18"/>
      <c r="M794" s="18"/>
      <c r="N794" s="18"/>
      <c r="O794" s="18"/>
      <c r="P794" s="18"/>
      <c r="Q794" s="18"/>
      <c r="W794" s="18"/>
      <c r="X794" s="18"/>
      <c r="Y794" s="18"/>
    </row>
    <row r="795" spans="6:25" ht="15.75" customHeight="1">
      <c r="F795" s="18"/>
      <c r="G795" s="18"/>
      <c r="I795" s="18"/>
      <c r="J795" s="18"/>
      <c r="K795" s="18"/>
      <c r="L795" s="18"/>
      <c r="M795" s="18"/>
      <c r="N795" s="18"/>
      <c r="O795" s="18"/>
      <c r="P795" s="18"/>
      <c r="Q795" s="18"/>
      <c r="W795" s="18"/>
      <c r="X795" s="18"/>
      <c r="Y795" s="18"/>
    </row>
    <row r="796" spans="6:25" ht="15.75" customHeight="1">
      <c r="F796" s="18"/>
      <c r="G796" s="18"/>
      <c r="I796" s="18"/>
      <c r="J796" s="18"/>
      <c r="K796" s="18"/>
      <c r="L796" s="18"/>
      <c r="M796" s="18"/>
      <c r="N796" s="18"/>
      <c r="O796" s="18"/>
      <c r="P796" s="18"/>
      <c r="Q796" s="18"/>
      <c r="W796" s="18"/>
      <c r="X796" s="18"/>
      <c r="Y796" s="18"/>
    </row>
    <row r="797" spans="6:25" ht="15.75" customHeight="1">
      <c r="F797" s="18"/>
      <c r="G797" s="18"/>
      <c r="I797" s="18"/>
      <c r="J797" s="18"/>
      <c r="K797" s="18"/>
      <c r="L797" s="18"/>
      <c r="M797" s="18"/>
      <c r="N797" s="18"/>
      <c r="O797" s="18"/>
      <c r="P797" s="18"/>
      <c r="Q797" s="18"/>
      <c r="W797" s="18"/>
      <c r="X797" s="18"/>
      <c r="Y797" s="18"/>
    </row>
    <row r="798" spans="6:25" ht="15.75" customHeight="1">
      <c r="F798" s="18"/>
      <c r="G798" s="18"/>
      <c r="I798" s="18"/>
      <c r="J798" s="18"/>
      <c r="K798" s="18"/>
      <c r="L798" s="18"/>
      <c r="M798" s="18"/>
      <c r="N798" s="18"/>
      <c r="O798" s="18"/>
      <c r="P798" s="18"/>
      <c r="Q798" s="18"/>
      <c r="W798" s="18"/>
      <c r="X798" s="18"/>
      <c r="Y798" s="18"/>
    </row>
    <row r="799" spans="6:25" ht="15.75" customHeight="1">
      <c r="F799" s="18"/>
      <c r="G799" s="18"/>
      <c r="I799" s="18"/>
      <c r="J799" s="18"/>
      <c r="K799" s="18"/>
      <c r="L799" s="18"/>
      <c r="M799" s="18"/>
      <c r="N799" s="18"/>
      <c r="O799" s="18"/>
      <c r="P799" s="18"/>
      <c r="Q799" s="18"/>
      <c r="W799" s="18"/>
      <c r="X799" s="18"/>
      <c r="Y799" s="18"/>
    </row>
    <row r="800" spans="6:25" ht="15.75" customHeight="1">
      <c r="F800" s="18"/>
      <c r="G800" s="18"/>
      <c r="I800" s="18"/>
      <c r="J800" s="18"/>
      <c r="K800" s="18"/>
      <c r="L800" s="18"/>
      <c r="M800" s="18"/>
      <c r="N800" s="18"/>
      <c r="O800" s="18"/>
      <c r="P800" s="18"/>
      <c r="Q800" s="18"/>
      <c r="W800" s="18"/>
      <c r="X800" s="18"/>
      <c r="Y800" s="18"/>
    </row>
    <row r="801" spans="6:25" ht="15.75" customHeight="1">
      <c r="F801" s="18"/>
      <c r="G801" s="18"/>
      <c r="I801" s="18"/>
      <c r="J801" s="18"/>
      <c r="K801" s="18"/>
      <c r="L801" s="18"/>
      <c r="M801" s="18"/>
      <c r="N801" s="18"/>
      <c r="O801" s="18"/>
      <c r="P801" s="18"/>
      <c r="Q801" s="18"/>
      <c r="W801" s="18"/>
      <c r="X801" s="18"/>
      <c r="Y801" s="18"/>
    </row>
    <row r="802" spans="6:25" ht="15.75" customHeight="1">
      <c r="F802" s="18"/>
      <c r="G802" s="18"/>
      <c r="I802" s="18"/>
      <c r="J802" s="18"/>
      <c r="K802" s="18"/>
      <c r="L802" s="18"/>
      <c r="M802" s="18"/>
      <c r="N802" s="18"/>
      <c r="O802" s="18"/>
      <c r="P802" s="18"/>
      <c r="Q802" s="18"/>
      <c r="W802" s="18"/>
      <c r="X802" s="18"/>
      <c r="Y802" s="18"/>
    </row>
    <row r="803" spans="6:25" ht="15.75" customHeight="1">
      <c r="F803" s="18"/>
      <c r="G803" s="18"/>
      <c r="I803" s="18"/>
      <c r="J803" s="18"/>
      <c r="K803" s="18"/>
      <c r="L803" s="18"/>
      <c r="M803" s="18"/>
      <c r="N803" s="18"/>
      <c r="O803" s="18"/>
      <c r="P803" s="18"/>
      <c r="Q803" s="18"/>
      <c r="W803" s="18"/>
      <c r="X803" s="18"/>
      <c r="Y803" s="18"/>
    </row>
    <row r="804" spans="6:25" ht="15.75" customHeight="1">
      <c r="F804" s="18"/>
      <c r="G804" s="18"/>
      <c r="I804" s="18"/>
      <c r="J804" s="18"/>
      <c r="K804" s="18"/>
      <c r="L804" s="18"/>
      <c r="M804" s="18"/>
      <c r="N804" s="18"/>
      <c r="O804" s="18"/>
      <c r="P804" s="18"/>
      <c r="Q804" s="18"/>
      <c r="W804" s="18"/>
      <c r="X804" s="18"/>
      <c r="Y804" s="18"/>
    </row>
    <row r="805" spans="6:25" ht="15.75" customHeight="1">
      <c r="F805" s="18"/>
      <c r="G805" s="18"/>
      <c r="I805" s="18"/>
      <c r="J805" s="18"/>
      <c r="K805" s="18"/>
      <c r="L805" s="18"/>
      <c r="M805" s="18"/>
      <c r="N805" s="18"/>
      <c r="O805" s="18"/>
      <c r="P805" s="18"/>
      <c r="Q805" s="18"/>
      <c r="W805" s="18"/>
      <c r="X805" s="18"/>
      <c r="Y805" s="18"/>
    </row>
    <row r="806" spans="6:25" ht="15.75" customHeight="1">
      <c r="F806" s="18"/>
      <c r="G806" s="18"/>
      <c r="I806" s="18"/>
      <c r="J806" s="18"/>
      <c r="K806" s="18"/>
      <c r="L806" s="18"/>
      <c r="M806" s="18"/>
      <c r="N806" s="18"/>
      <c r="O806" s="18"/>
      <c r="P806" s="18"/>
      <c r="Q806" s="18"/>
      <c r="W806" s="18"/>
      <c r="X806" s="18"/>
      <c r="Y806" s="18"/>
    </row>
    <row r="807" spans="6:25" ht="15.75" customHeight="1">
      <c r="F807" s="18"/>
      <c r="G807" s="18"/>
      <c r="I807" s="18"/>
      <c r="J807" s="18"/>
      <c r="K807" s="18"/>
      <c r="L807" s="18"/>
      <c r="M807" s="18"/>
      <c r="N807" s="18"/>
      <c r="O807" s="18"/>
      <c r="P807" s="18"/>
      <c r="Q807" s="18"/>
      <c r="W807" s="18"/>
      <c r="X807" s="18"/>
      <c r="Y807" s="18"/>
    </row>
    <row r="808" spans="6:25" ht="15.75" customHeight="1">
      <c r="F808" s="18"/>
      <c r="G808" s="18"/>
      <c r="I808" s="18"/>
      <c r="J808" s="18"/>
      <c r="K808" s="18"/>
      <c r="L808" s="18"/>
      <c r="M808" s="18"/>
      <c r="N808" s="18"/>
      <c r="O808" s="18"/>
      <c r="P808" s="18"/>
      <c r="Q808" s="18"/>
      <c r="W808" s="18"/>
      <c r="X808" s="18"/>
      <c r="Y808" s="18"/>
    </row>
    <row r="809" spans="6:25" ht="15.75" customHeight="1">
      <c r="F809" s="18"/>
      <c r="G809" s="18"/>
      <c r="I809" s="18"/>
      <c r="J809" s="18"/>
      <c r="K809" s="18"/>
      <c r="L809" s="18"/>
      <c r="M809" s="18"/>
      <c r="N809" s="18"/>
      <c r="O809" s="18"/>
      <c r="P809" s="18"/>
      <c r="Q809" s="18"/>
      <c r="W809" s="18"/>
      <c r="X809" s="18"/>
      <c r="Y809" s="18"/>
    </row>
    <row r="810" spans="6:25" ht="15.75" customHeight="1">
      <c r="F810" s="18"/>
      <c r="G810" s="18"/>
      <c r="I810" s="18"/>
      <c r="J810" s="18"/>
      <c r="K810" s="18"/>
      <c r="L810" s="18"/>
      <c r="M810" s="18"/>
      <c r="N810" s="18"/>
      <c r="O810" s="18"/>
      <c r="P810" s="18"/>
      <c r="Q810" s="18"/>
      <c r="W810" s="18"/>
      <c r="X810" s="18"/>
      <c r="Y810" s="18"/>
    </row>
    <row r="811" spans="6:25" ht="15.75" customHeight="1">
      <c r="F811" s="18"/>
      <c r="G811" s="18"/>
      <c r="I811" s="18"/>
      <c r="J811" s="18"/>
      <c r="K811" s="18"/>
      <c r="L811" s="18"/>
      <c r="M811" s="18"/>
      <c r="N811" s="18"/>
      <c r="O811" s="18"/>
      <c r="P811" s="18"/>
      <c r="Q811" s="18"/>
      <c r="W811" s="18"/>
      <c r="X811" s="18"/>
      <c r="Y811" s="18"/>
    </row>
    <row r="812" spans="6:25" ht="15.75" customHeight="1">
      <c r="F812" s="18"/>
      <c r="G812" s="18"/>
      <c r="I812" s="18"/>
      <c r="J812" s="18"/>
      <c r="K812" s="18"/>
      <c r="L812" s="18"/>
      <c r="M812" s="18"/>
      <c r="N812" s="18"/>
      <c r="O812" s="18"/>
      <c r="P812" s="18"/>
      <c r="Q812" s="18"/>
      <c r="W812" s="18"/>
      <c r="X812" s="18"/>
      <c r="Y812" s="18"/>
    </row>
    <row r="813" spans="6:25" ht="15.75" customHeight="1">
      <c r="F813" s="18"/>
      <c r="G813" s="18"/>
      <c r="I813" s="18"/>
      <c r="J813" s="18"/>
      <c r="K813" s="18"/>
      <c r="L813" s="18"/>
      <c r="M813" s="18"/>
      <c r="N813" s="18"/>
      <c r="O813" s="18"/>
      <c r="P813" s="18"/>
      <c r="Q813" s="18"/>
      <c r="W813" s="18"/>
      <c r="X813" s="18"/>
      <c r="Y813" s="18"/>
    </row>
    <row r="814" spans="6:25" ht="15.75" customHeight="1">
      <c r="F814" s="18"/>
      <c r="G814" s="18"/>
      <c r="I814" s="18"/>
      <c r="J814" s="18"/>
      <c r="K814" s="18"/>
      <c r="L814" s="18"/>
      <c r="M814" s="18"/>
      <c r="N814" s="18"/>
      <c r="O814" s="18"/>
      <c r="P814" s="18"/>
      <c r="Q814" s="18"/>
      <c r="W814" s="18"/>
      <c r="X814" s="18"/>
      <c r="Y814" s="18"/>
    </row>
    <row r="815" spans="6:25" ht="15.75" customHeight="1">
      <c r="F815" s="18"/>
      <c r="G815" s="18"/>
      <c r="I815" s="18"/>
      <c r="J815" s="18"/>
      <c r="K815" s="18"/>
      <c r="L815" s="18"/>
      <c r="M815" s="18"/>
      <c r="N815" s="18"/>
      <c r="O815" s="18"/>
      <c r="P815" s="18"/>
      <c r="Q815" s="18"/>
      <c r="W815" s="18"/>
      <c r="X815" s="18"/>
      <c r="Y815" s="18"/>
    </row>
    <row r="816" spans="6:25" ht="15.75" customHeight="1">
      <c r="F816" s="18"/>
      <c r="G816" s="18"/>
      <c r="I816" s="18"/>
      <c r="J816" s="18"/>
      <c r="K816" s="18"/>
      <c r="L816" s="18"/>
      <c r="M816" s="18"/>
      <c r="N816" s="18"/>
      <c r="O816" s="18"/>
      <c r="P816" s="18"/>
      <c r="Q816" s="18"/>
      <c r="W816" s="18"/>
      <c r="X816" s="18"/>
      <c r="Y816" s="18"/>
    </row>
    <row r="817" spans="6:25" ht="15.75" customHeight="1">
      <c r="F817" s="18"/>
      <c r="G817" s="18"/>
      <c r="I817" s="18"/>
      <c r="J817" s="18"/>
      <c r="K817" s="18"/>
      <c r="L817" s="18"/>
      <c r="M817" s="18"/>
      <c r="N817" s="18"/>
      <c r="O817" s="18"/>
      <c r="P817" s="18"/>
      <c r="Q817" s="18"/>
      <c r="W817" s="18"/>
      <c r="X817" s="18"/>
      <c r="Y817" s="18"/>
    </row>
    <row r="818" spans="6:25" ht="15.75" customHeight="1">
      <c r="F818" s="18"/>
      <c r="G818" s="18"/>
      <c r="I818" s="18"/>
      <c r="J818" s="18"/>
      <c r="K818" s="18"/>
      <c r="L818" s="18"/>
      <c r="M818" s="18"/>
      <c r="N818" s="18"/>
      <c r="O818" s="18"/>
      <c r="P818" s="18"/>
      <c r="Q818" s="18"/>
      <c r="W818" s="18"/>
      <c r="X818" s="18"/>
      <c r="Y818" s="18"/>
    </row>
    <row r="819" spans="6:25" ht="15.75" customHeight="1">
      <c r="F819" s="18"/>
      <c r="G819" s="18"/>
      <c r="I819" s="18"/>
      <c r="J819" s="18"/>
      <c r="K819" s="18"/>
      <c r="L819" s="18"/>
      <c r="M819" s="18"/>
      <c r="N819" s="18"/>
      <c r="O819" s="18"/>
      <c r="P819" s="18"/>
      <c r="Q819" s="18"/>
      <c r="W819" s="18"/>
      <c r="X819" s="18"/>
      <c r="Y819" s="18"/>
    </row>
    <row r="820" spans="6:25" ht="15.75" customHeight="1">
      <c r="F820" s="18"/>
      <c r="G820" s="18"/>
      <c r="I820" s="18"/>
      <c r="J820" s="18"/>
      <c r="K820" s="18"/>
      <c r="L820" s="18"/>
      <c r="M820" s="18"/>
      <c r="N820" s="18"/>
      <c r="O820" s="18"/>
      <c r="P820" s="18"/>
      <c r="Q820" s="18"/>
      <c r="W820" s="18"/>
      <c r="X820" s="18"/>
      <c r="Y820" s="18"/>
    </row>
    <row r="821" spans="6:25" ht="15.75" customHeight="1">
      <c r="F821" s="18"/>
      <c r="G821" s="18"/>
      <c r="I821" s="18"/>
      <c r="J821" s="18"/>
      <c r="K821" s="18"/>
      <c r="L821" s="18"/>
      <c r="M821" s="18"/>
      <c r="N821" s="18"/>
      <c r="O821" s="18"/>
      <c r="P821" s="18"/>
      <c r="Q821" s="18"/>
      <c r="W821" s="18"/>
      <c r="X821" s="18"/>
      <c r="Y821" s="18"/>
    </row>
    <row r="822" spans="6:25" ht="15.75" customHeight="1">
      <c r="F822" s="18"/>
      <c r="G822" s="18"/>
      <c r="I822" s="18"/>
      <c r="J822" s="18"/>
      <c r="K822" s="18"/>
      <c r="L822" s="18"/>
      <c r="M822" s="18"/>
      <c r="N822" s="18"/>
      <c r="O822" s="18"/>
      <c r="P822" s="18"/>
      <c r="Q822" s="18"/>
      <c r="W822" s="18"/>
      <c r="X822" s="18"/>
      <c r="Y822" s="18"/>
    </row>
    <row r="823" spans="6:25" ht="15.75" customHeight="1">
      <c r="F823" s="18"/>
      <c r="G823" s="18"/>
      <c r="I823" s="18"/>
      <c r="J823" s="18"/>
      <c r="K823" s="18"/>
      <c r="L823" s="18"/>
      <c r="M823" s="18"/>
      <c r="N823" s="18"/>
      <c r="O823" s="18"/>
      <c r="P823" s="18"/>
      <c r="Q823" s="18"/>
      <c r="W823" s="18"/>
      <c r="X823" s="18"/>
      <c r="Y823" s="18"/>
    </row>
    <row r="824" spans="6:25" ht="15.75" customHeight="1">
      <c r="F824" s="18"/>
      <c r="G824" s="18"/>
      <c r="I824" s="18"/>
      <c r="J824" s="18"/>
      <c r="K824" s="18"/>
      <c r="L824" s="18"/>
      <c r="M824" s="18"/>
      <c r="N824" s="18"/>
      <c r="O824" s="18"/>
      <c r="P824" s="18"/>
      <c r="Q824" s="18"/>
      <c r="W824" s="18"/>
      <c r="X824" s="18"/>
      <c r="Y824" s="18"/>
    </row>
    <row r="825" spans="6:25" ht="15.75" customHeight="1">
      <c r="F825" s="18"/>
      <c r="G825" s="18"/>
      <c r="I825" s="18"/>
      <c r="J825" s="18"/>
      <c r="K825" s="18"/>
      <c r="L825" s="18"/>
      <c r="M825" s="18"/>
      <c r="N825" s="18"/>
      <c r="O825" s="18"/>
      <c r="P825" s="18"/>
      <c r="Q825" s="18"/>
      <c r="W825" s="18"/>
      <c r="X825" s="18"/>
      <c r="Y825" s="18"/>
    </row>
    <row r="826" spans="6:25" ht="15.75" customHeight="1">
      <c r="F826" s="18"/>
      <c r="G826" s="18"/>
      <c r="I826" s="18"/>
      <c r="J826" s="18"/>
      <c r="K826" s="18"/>
      <c r="L826" s="18"/>
      <c r="M826" s="18"/>
      <c r="N826" s="18"/>
      <c r="O826" s="18"/>
      <c r="P826" s="18"/>
      <c r="Q826" s="18"/>
      <c r="W826" s="18"/>
      <c r="X826" s="18"/>
      <c r="Y826" s="18"/>
    </row>
    <row r="827" spans="6:25" ht="15.75" customHeight="1">
      <c r="F827" s="18"/>
      <c r="G827" s="18"/>
      <c r="I827" s="18"/>
      <c r="J827" s="18"/>
      <c r="K827" s="18"/>
      <c r="L827" s="18"/>
      <c r="M827" s="18"/>
      <c r="N827" s="18"/>
      <c r="O827" s="18"/>
      <c r="P827" s="18"/>
      <c r="Q827" s="18"/>
      <c r="W827" s="18"/>
      <c r="X827" s="18"/>
      <c r="Y827" s="18"/>
    </row>
    <row r="828" spans="6:25" ht="15.75" customHeight="1">
      <c r="F828" s="18"/>
      <c r="G828" s="18"/>
      <c r="I828" s="18"/>
      <c r="J828" s="18"/>
      <c r="K828" s="18"/>
      <c r="L828" s="18"/>
      <c r="M828" s="18"/>
      <c r="N828" s="18"/>
      <c r="O828" s="18"/>
      <c r="P828" s="18"/>
      <c r="Q828" s="18"/>
      <c r="W828" s="18"/>
      <c r="X828" s="18"/>
      <c r="Y828" s="18"/>
    </row>
    <row r="829" spans="6:25" ht="15.75" customHeight="1">
      <c r="F829" s="18"/>
      <c r="G829" s="18"/>
      <c r="I829" s="18"/>
      <c r="J829" s="18"/>
      <c r="K829" s="18"/>
      <c r="L829" s="18"/>
      <c r="M829" s="18"/>
      <c r="N829" s="18"/>
      <c r="O829" s="18"/>
      <c r="P829" s="18"/>
      <c r="Q829" s="18"/>
      <c r="W829" s="18"/>
      <c r="X829" s="18"/>
      <c r="Y829" s="18"/>
    </row>
    <row r="830" spans="6:25" ht="15.75" customHeight="1">
      <c r="F830" s="18"/>
      <c r="G830" s="18"/>
      <c r="I830" s="18"/>
      <c r="J830" s="18"/>
      <c r="K830" s="18"/>
      <c r="L830" s="18"/>
      <c r="M830" s="18"/>
      <c r="N830" s="18"/>
      <c r="O830" s="18"/>
      <c r="P830" s="18"/>
      <c r="Q830" s="18"/>
      <c r="W830" s="18"/>
      <c r="X830" s="18"/>
      <c r="Y830" s="18"/>
    </row>
    <row r="831" spans="6:25" ht="15.75" customHeight="1">
      <c r="F831" s="18"/>
      <c r="G831" s="18"/>
      <c r="I831" s="18"/>
      <c r="J831" s="18"/>
      <c r="K831" s="18"/>
      <c r="L831" s="18"/>
      <c r="M831" s="18"/>
      <c r="N831" s="18"/>
      <c r="O831" s="18"/>
      <c r="P831" s="18"/>
      <c r="Q831" s="18"/>
      <c r="W831" s="18"/>
      <c r="X831" s="18"/>
      <c r="Y831" s="18"/>
    </row>
    <row r="832" spans="6:25" ht="15.75" customHeight="1">
      <c r="F832" s="18"/>
      <c r="G832" s="18"/>
      <c r="I832" s="18"/>
      <c r="J832" s="18"/>
      <c r="K832" s="18"/>
      <c r="L832" s="18"/>
      <c r="M832" s="18"/>
      <c r="N832" s="18"/>
      <c r="O832" s="18"/>
      <c r="P832" s="18"/>
      <c r="Q832" s="18"/>
      <c r="W832" s="18"/>
      <c r="X832" s="18"/>
      <c r="Y832" s="18"/>
    </row>
    <row r="833" spans="6:25" ht="15.75" customHeight="1">
      <c r="F833" s="18"/>
      <c r="G833" s="18"/>
      <c r="I833" s="18"/>
      <c r="J833" s="18"/>
      <c r="K833" s="18"/>
      <c r="L833" s="18"/>
      <c r="M833" s="18"/>
      <c r="N833" s="18"/>
      <c r="O833" s="18"/>
      <c r="P833" s="18"/>
      <c r="Q833" s="18"/>
      <c r="W833" s="18"/>
      <c r="X833" s="18"/>
      <c r="Y833" s="18"/>
    </row>
    <row r="834" spans="6:25" ht="15.75" customHeight="1">
      <c r="F834" s="18"/>
      <c r="G834" s="18"/>
      <c r="I834" s="18"/>
      <c r="J834" s="18"/>
      <c r="K834" s="18"/>
      <c r="L834" s="18"/>
      <c r="M834" s="18"/>
      <c r="N834" s="18"/>
      <c r="O834" s="18"/>
      <c r="P834" s="18"/>
      <c r="Q834" s="18"/>
      <c r="W834" s="18"/>
      <c r="X834" s="18"/>
      <c r="Y834" s="18"/>
    </row>
    <row r="835" spans="6:25" ht="15.75" customHeight="1">
      <c r="F835" s="18"/>
      <c r="G835" s="18"/>
      <c r="I835" s="18"/>
      <c r="J835" s="18"/>
      <c r="K835" s="18"/>
      <c r="L835" s="18"/>
      <c r="M835" s="18"/>
      <c r="N835" s="18"/>
      <c r="O835" s="18"/>
      <c r="P835" s="18"/>
      <c r="Q835" s="18"/>
      <c r="W835" s="18"/>
      <c r="X835" s="18"/>
      <c r="Y835" s="18"/>
    </row>
    <row r="836" spans="6:25" ht="15.75" customHeight="1">
      <c r="F836" s="18"/>
      <c r="G836" s="18"/>
      <c r="I836" s="18"/>
      <c r="J836" s="18"/>
      <c r="K836" s="18"/>
      <c r="L836" s="18"/>
      <c r="M836" s="18"/>
      <c r="N836" s="18"/>
      <c r="O836" s="18"/>
      <c r="P836" s="18"/>
      <c r="Q836" s="18"/>
      <c r="W836" s="18"/>
      <c r="X836" s="18"/>
      <c r="Y836" s="18"/>
    </row>
    <row r="837" spans="6:25" ht="15.75" customHeight="1">
      <c r="F837" s="18"/>
      <c r="G837" s="18"/>
      <c r="I837" s="18"/>
      <c r="J837" s="18"/>
      <c r="K837" s="18"/>
      <c r="L837" s="18"/>
      <c r="M837" s="18"/>
      <c r="N837" s="18"/>
      <c r="O837" s="18"/>
      <c r="P837" s="18"/>
      <c r="Q837" s="18"/>
      <c r="W837" s="18"/>
      <c r="X837" s="18"/>
      <c r="Y837" s="18"/>
    </row>
    <row r="838" spans="6:25" ht="15.75" customHeight="1">
      <c r="F838" s="18"/>
      <c r="G838" s="18"/>
      <c r="I838" s="18"/>
      <c r="J838" s="18"/>
      <c r="K838" s="18"/>
      <c r="L838" s="18"/>
      <c r="M838" s="18"/>
      <c r="N838" s="18"/>
      <c r="O838" s="18"/>
      <c r="P838" s="18"/>
      <c r="Q838" s="18"/>
      <c r="W838" s="18"/>
      <c r="X838" s="18"/>
      <c r="Y838" s="18"/>
    </row>
    <row r="839" spans="6:25" ht="15.75" customHeight="1">
      <c r="F839" s="18"/>
      <c r="G839" s="18"/>
      <c r="I839" s="18"/>
      <c r="J839" s="18"/>
      <c r="K839" s="18"/>
      <c r="L839" s="18"/>
      <c r="M839" s="18"/>
      <c r="N839" s="18"/>
      <c r="O839" s="18"/>
      <c r="P839" s="18"/>
      <c r="Q839" s="18"/>
      <c r="W839" s="18"/>
      <c r="X839" s="18"/>
      <c r="Y839" s="18"/>
    </row>
    <row r="840" spans="6:25" ht="15.75" customHeight="1">
      <c r="F840" s="18"/>
      <c r="G840" s="18"/>
      <c r="I840" s="18"/>
      <c r="J840" s="18"/>
      <c r="K840" s="18"/>
      <c r="L840" s="18"/>
      <c r="M840" s="18"/>
      <c r="N840" s="18"/>
      <c r="O840" s="18"/>
      <c r="P840" s="18"/>
      <c r="Q840" s="18"/>
      <c r="W840" s="18"/>
      <c r="X840" s="18"/>
      <c r="Y840" s="18"/>
    </row>
    <row r="841" spans="6:25" ht="15.75" customHeight="1">
      <c r="F841" s="18"/>
      <c r="G841" s="18"/>
      <c r="I841" s="18"/>
      <c r="J841" s="18"/>
      <c r="K841" s="18"/>
      <c r="L841" s="18"/>
      <c r="M841" s="18"/>
      <c r="N841" s="18"/>
      <c r="O841" s="18"/>
      <c r="P841" s="18"/>
      <c r="Q841" s="18"/>
      <c r="W841" s="18"/>
      <c r="X841" s="18"/>
      <c r="Y841" s="18"/>
    </row>
    <row r="842" spans="6:25" ht="15.75" customHeight="1">
      <c r="F842" s="18"/>
      <c r="G842" s="18"/>
      <c r="I842" s="18"/>
      <c r="J842" s="18"/>
      <c r="K842" s="18"/>
      <c r="L842" s="18"/>
      <c r="M842" s="18"/>
      <c r="N842" s="18"/>
      <c r="O842" s="18"/>
      <c r="P842" s="18"/>
      <c r="Q842" s="18"/>
      <c r="W842" s="18"/>
      <c r="X842" s="18"/>
      <c r="Y842" s="18"/>
    </row>
    <row r="843" spans="6:25" ht="15.75" customHeight="1">
      <c r="F843" s="18"/>
      <c r="G843" s="18"/>
      <c r="I843" s="18"/>
      <c r="J843" s="18"/>
      <c r="K843" s="18"/>
      <c r="L843" s="18"/>
      <c r="M843" s="18"/>
      <c r="N843" s="18"/>
      <c r="O843" s="18"/>
      <c r="P843" s="18"/>
      <c r="Q843" s="18"/>
      <c r="W843" s="18"/>
      <c r="X843" s="18"/>
      <c r="Y843" s="18"/>
    </row>
    <row r="844" spans="6:25" ht="15.75" customHeight="1">
      <c r="F844" s="18"/>
      <c r="G844" s="18"/>
      <c r="I844" s="18"/>
      <c r="J844" s="18"/>
      <c r="K844" s="18"/>
      <c r="L844" s="18"/>
      <c r="M844" s="18"/>
      <c r="N844" s="18"/>
      <c r="O844" s="18"/>
      <c r="P844" s="18"/>
      <c r="Q844" s="18"/>
      <c r="W844" s="18"/>
      <c r="X844" s="18"/>
      <c r="Y844" s="18"/>
    </row>
    <row r="845" spans="6:25" ht="15.75" customHeight="1">
      <c r="F845" s="18"/>
      <c r="G845" s="18"/>
      <c r="I845" s="18"/>
      <c r="J845" s="18"/>
      <c r="K845" s="18"/>
      <c r="L845" s="18"/>
      <c r="M845" s="18"/>
      <c r="N845" s="18"/>
      <c r="O845" s="18"/>
      <c r="P845" s="18"/>
      <c r="Q845" s="18"/>
      <c r="W845" s="18"/>
      <c r="X845" s="18"/>
      <c r="Y845" s="18"/>
    </row>
    <row r="846" spans="6:25" ht="15.75" customHeight="1">
      <c r="F846" s="18"/>
      <c r="G846" s="18"/>
      <c r="I846" s="18"/>
      <c r="J846" s="18"/>
      <c r="K846" s="18"/>
      <c r="L846" s="18"/>
      <c r="M846" s="18"/>
      <c r="N846" s="18"/>
      <c r="O846" s="18"/>
      <c r="P846" s="18"/>
      <c r="Q846" s="18"/>
      <c r="W846" s="18"/>
      <c r="X846" s="18"/>
      <c r="Y846" s="18"/>
    </row>
    <row r="847" spans="6:25" ht="15.75" customHeight="1">
      <c r="F847" s="18"/>
      <c r="G847" s="18"/>
      <c r="I847" s="18"/>
      <c r="J847" s="18"/>
      <c r="K847" s="18"/>
      <c r="L847" s="18"/>
      <c r="M847" s="18"/>
      <c r="N847" s="18"/>
      <c r="O847" s="18"/>
      <c r="P847" s="18"/>
      <c r="Q847" s="18"/>
      <c r="W847" s="18"/>
      <c r="X847" s="18"/>
      <c r="Y847" s="18"/>
    </row>
    <row r="848" spans="6:25" ht="15.75" customHeight="1">
      <c r="F848" s="18"/>
      <c r="G848" s="18"/>
      <c r="I848" s="18"/>
      <c r="J848" s="18"/>
      <c r="K848" s="18"/>
      <c r="L848" s="18"/>
      <c r="M848" s="18"/>
      <c r="N848" s="18"/>
      <c r="O848" s="18"/>
      <c r="P848" s="18"/>
      <c r="Q848" s="18"/>
      <c r="W848" s="18"/>
      <c r="X848" s="18"/>
      <c r="Y848" s="18"/>
    </row>
    <row r="849" spans="6:25" ht="15.75" customHeight="1">
      <c r="F849" s="18"/>
      <c r="G849" s="18"/>
      <c r="I849" s="18"/>
      <c r="J849" s="18"/>
      <c r="K849" s="18"/>
      <c r="L849" s="18"/>
      <c r="M849" s="18"/>
      <c r="N849" s="18"/>
      <c r="O849" s="18"/>
      <c r="P849" s="18"/>
      <c r="Q849" s="18"/>
      <c r="W849" s="18"/>
      <c r="X849" s="18"/>
      <c r="Y849" s="18"/>
    </row>
    <row r="850" spans="6:25" ht="15.75" customHeight="1">
      <c r="F850" s="18"/>
      <c r="G850" s="18"/>
      <c r="I850" s="18"/>
      <c r="J850" s="18"/>
      <c r="K850" s="18"/>
      <c r="L850" s="18"/>
      <c r="M850" s="18"/>
      <c r="N850" s="18"/>
      <c r="O850" s="18"/>
      <c r="P850" s="18"/>
      <c r="Q850" s="18"/>
      <c r="W850" s="18"/>
      <c r="X850" s="18"/>
      <c r="Y850" s="18"/>
    </row>
    <row r="851" spans="6:25" ht="15.75" customHeight="1">
      <c r="F851" s="18"/>
      <c r="G851" s="18"/>
      <c r="I851" s="18"/>
      <c r="J851" s="18"/>
      <c r="K851" s="18"/>
      <c r="L851" s="18"/>
      <c r="M851" s="18"/>
      <c r="N851" s="18"/>
      <c r="O851" s="18"/>
      <c r="P851" s="18"/>
      <c r="Q851" s="18"/>
      <c r="W851" s="18"/>
      <c r="X851" s="18"/>
      <c r="Y851" s="18"/>
    </row>
    <row r="852" spans="6:25" ht="15.75" customHeight="1">
      <c r="F852" s="18"/>
      <c r="G852" s="18"/>
      <c r="I852" s="18"/>
      <c r="J852" s="18"/>
      <c r="K852" s="18"/>
      <c r="L852" s="18"/>
      <c r="M852" s="18"/>
      <c r="N852" s="18"/>
      <c r="O852" s="18"/>
      <c r="P852" s="18"/>
      <c r="Q852" s="18"/>
      <c r="W852" s="18"/>
      <c r="X852" s="18"/>
      <c r="Y852" s="18"/>
    </row>
    <row r="853" spans="6:25" ht="15.75" customHeight="1">
      <c r="F853" s="18"/>
      <c r="G853" s="18"/>
      <c r="I853" s="18"/>
      <c r="J853" s="18"/>
      <c r="K853" s="18"/>
      <c r="L853" s="18"/>
      <c r="M853" s="18"/>
      <c r="N853" s="18"/>
      <c r="O853" s="18"/>
      <c r="P853" s="18"/>
      <c r="Q853" s="18"/>
      <c r="W853" s="18"/>
      <c r="X853" s="18"/>
      <c r="Y853" s="18"/>
    </row>
    <row r="854" spans="6:25" ht="15.75" customHeight="1">
      <c r="F854" s="18"/>
      <c r="G854" s="18"/>
      <c r="I854" s="18"/>
      <c r="J854" s="18"/>
      <c r="K854" s="18"/>
      <c r="L854" s="18"/>
      <c r="M854" s="18"/>
      <c r="N854" s="18"/>
      <c r="O854" s="18"/>
      <c r="P854" s="18"/>
      <c r="Q854" s="18"/>
      <c r="W854" s="18"/>
      <c r="X854" s="18"/>
      <c r="Y854" s="18"/>
    </row>
    <row r="855" spans="6:25" ht="15.75" customHeight="1">
      <c r="F855" s="18"/>
      <c r="G855" s="18"/>
      <c r="I855" s="18"/>
      <c r="J855" s="18"/>
      <c r="K855" s="18"/>
      <c r="L855" s="18"/>
      <c r="M855" s="18"/>
      <c r="N855" s="18"/>
      <c r="O855" s="18"/>
      <c r="P855" s="18"/>
      <c r="Q855" s="18"/>
      <c r="W855" s="18"/>
      <c r="X855" s="18"/>
      <c r="Y855" s="18"/>
    </row>
    <row r="856" spans="6:25" ht="15.75" customHeight="1">
      <c r="F856" s="18"/>
      <c r="G856" s="18"/>
      <c r="I856" s="18"/>
      <c r="J856" s="18"/>
      <c r="K856" s="18"/>
      <c r="L856" s="18"/>
      <c r="M856" s="18"/>
      <c r="N856" s="18"/>
      <c r="O856" s="18"/>
      <c r="P856" s="18"/>
      <c r="Q856" s="18"/>
      <c r="W856" s="18"/>
      <c r="X856" s="18"/>
      <c r="Y856" s="18"/>
    </row>
    <row r="857" spans="6:25" ht="15.75" customHeight="1">
      <c r="F857" s="18"/>
      <c r="G857" s="18"/>
      <c r="I857" s="18"/>
      <c r="J857" s="18"/>
      <c r="K857" s="18"/>
      <c r="L857" s="18"/>
      <c r="M857" s="18"/>
      <c r="N857" s="18"/>
      <c r="O857" s="18"/>
      <c r="P857" s="18"/>
      <c r="Q857" s="18"/>
      <c r="W857" s="18"/>
      <c r="X857" s="18"/>
      <c r="Y857" s="18"/>
    </row>
    <row r="858" spans="6:25" ht="15.75" customHeight="1">
      <c r="F858" s="18"/>
      <c r="G858" s="18"/>
      <c r="I858" s="18"/>
      <c r="J858" s="18"/>
      <c r="K858" s="18"/>
      <c r="L858" s="18"/>
      <c r="M858" s="18"/>
      <c r="N858" s="18"/>
      <c r="O858" s="18"/>
      <c r="P858" s="18"/>
      <c r="Q858" s="18"/>
      <c r="W858" s="18"/>
      <c r="X858" s="18"/>
      <c r="Y858" s="18"/>
    </row>
    <row r="859" spans="6:25" ht="15.75" customHeight="1">
      <c r="F859" s="18"/>
      <c r="G859" s="18"/>
      <c r="I859" s="18"/>
      <c r="J859" s="18"/>
      <c r="K859" s="18"/>
      <c r="L859" s="18"/>
      <c r="M859" s="18"/>
      <c r="N859" s="18"/>
      <c r="O859" s="18"/>
      <c r="P859" s="18"/>
      <c r="Q859" s="18"/>
      <c r="W859" s="18"/>
      <c r="X859" s="18"/>
      <c r="Y859" s="18"/>
    </row>
    <row r="860" spans="6:25" ht="15.75" customHeight="1">
      <c r="F860" s="18"/>
      <c r="G860" s="18"/>
      <c r="I860" s="18"/>
      <c r="J860" s="18"/>
      <c r="K860" s="18"/>
      <c r="L860" s="18"/>
      <c r="M860" s="18"/>
      <c r="N860" s="18"/>
      <c r="O860" s="18"/>
      <c r="P860" s="18"/>
      <c r="Q860" s="18"/>
      <c r="W860" s="18"/>
      <c r="X860" s="18"/>
      <c r="Y860" s="18"/>
    </row>
    <row r="861" spans="6:25" ht="15.75" customHeight="1">
      <c r="F861" s="18"/>
      <c r="G861" s="18"/>
      <c r="I861" s="18"/>
      <c r="J861" s="18"/>
      <c r="K861" s="18"/>
      <c r="L861" s="18"/>
      <c r="M861" s="18"/>
      <c r="N861" s="18"/>
      <c r="O861" s="18"/>
      <c r="P861" s="18"/>
      <c r="Q861" s="18"/>
      <c r="W861" s="18"/>
      <c r="X861" s="18"/>
      <c r="Y861" s="18"/>
    </row>
    <row r="862" spans="6:25" ht="15.75" customHeight="1">
      <c r="F862" s="18"/>
      <c r="G862" s="18"/>
      <c r="I862" s="18"/>
      <c r="J862" s="18"/>
      <c r="K862" s="18"/>
      <c r="L862" s="18"/>
      <c r="M862" s="18"/>
      <c r="N862" s="18"/>
      <c r="O862" s="18"/>
      <c r="P862" s="18"/>
      <c r="Q862" s="18"/>
      <c r="W862" s="18"/>
      <c r="X862" s="18"/>
      <c r="Y862" s="18"/>
    </row>
    <row r="863" spans="6:25" ht="15.75" customHeight="1">
      <c r="F863" s="18"/>
      <c r="G863" s="18"/>
      <c r="I863" s="18"/>
      <c r="J863" s="18"/>
      <c r="K863" s="18"/>
      <c r="L863" s="18"/>
      <c r="M863" s="18"/>
      <c r="N863" s="18"/>
      <c r="O863" s="18"/>
      <c r="P863" s="18"/>
      <c r="Q863" s="18"/>
      <c r="W863" s="18"/>
      <c r="X863" s="18"/>
      <c r="Y863" s="18"/>
    </row>
    <row r="864" spans="6:25" ht="15.75" customHeight="1">
      <c r="F864" s="18"/>
      <c r="G864" s="18"/>
      <c r="I864" s="18"/>
      <c r="J864" s="18"/>
      <c r="K864" s="18"/>
      <c r="L864" s="18"/>
      <c r="M864" s="18"/>
      <c r="N864" s="18"/>
      <c r="O864" s="18"/>
      <c r="P864" s="18"/>
      <c r="Q864" s="18"/>
      <c r="W864" s="18"/>
      <c r="X864" s="18"/>
      <c r="Y864" s="18"/>
    </row>
    <row r="865" spans="6:25" ht="15.75" customHeight="1">
      <c r="F865" s="18"/>
      <c r="G865" s="18"/>
      <c r="I865" s="18"/>
      <c r="J865" s="18"/>
      <c r="K865" s="18"/>
      <c r="L865" s="18"/>
      <c r="M865" s="18"/>
      <c r="N865" s="18"/>
      <c r="O865" s="18"/>
      <c r="P865" s="18"/>
      <c r="Q865" s="18"/>
      <c r="W865" s="18"/>
      <c r="X865" s="18"/>
      <c r="Y865" s="18"/>
    </row>
    <row r="866" spans="6:25" ht="15.75" customHeight="1">
      <c r="F866" s="18"/>
      <c r="G866" s="18"/>
      <c r="I866" s="18"/>
      <c r="J866" s="18"/>
      <c r="K866" s="18"/>
      <c r="L866" s="18"/>
      <c r="M866" s="18"/>
      <c r="N866" s="18"/>
      <c r="O866" s="18"/>
      <c r="P866" s="18"/>
      <c r="Q866" s="18"/>
      <c r="W866" s="18"/>
      <c r="X866" s="18"/>
      <c r="Y866" s="18"/>
    </row>
    <row r="867" spans="6:25" ht="15.75" customHeight="1">
      <c r="F867" s="18"/>
      <c r="G867" s="18"/>
      <c r="I867" s="18"/>
      <c r="J867" s="18"/>
      <c r="K867" s="18"/>
      <c r="L867" s="18"/>
      <c r="M867" s="18"/>
      <c r="N867" s="18"/>
      <c r="O867" s="18"/>
      <c r="P867" s="18"/>
      <c r="Q867" s="18"/>
      <c r="W867" s="18"/>
      <c r="X867" s="18"/>
      <c r="Y867" s="18"/>
    </row>
    <row r="868" spans="6:25" ht="15.75" customHeight="1">
      <c r="F868" s="18"/>
      <c r="G868" s="18"/>
      <c r="I868" s="18"/>
      <c r="J868" s="18"/>
      <c r="K868" s="18"/>
      <c r="L868" s="18"/>
      <c r="M868" s="18"/>
      <c r="N868" s="18"/>
      <c r="O868" s="18"/>
      <c r="P868" s="18"/>
      <c r="Q868" s="18"/>
      <c r="W868" s="18"/>
      <c r="X868" s="18"/>
      <c r="Y868" s="18"/>
    </row>
    <row r="869" spans="6:25" ht="15.75" customHeight="1">
      <c r="F869" s="18"/>
      <c r="G869" s="18"/>
      <c r="I869" s="18"/>
      <c r="J869" s="18"/>
      <c r="K869" s="18"/>
      <c r="L869" s="18"/>
      <c r="M869" s="18"/>
      <c r="N869" s="18"/>
      <c r="O869" s="18"/>
      <c r="P869" s="18"/>
      <c r="Q869" s="18"/>
      <c r="W869" s="18"/>
      <c r="X869" s="18"/>
      <c r="Y869" s="18"/>
    </row>
    <row r="870" spans="6:25" ht="15.75" customHeight="1">
      <c r="F870" s="18"/>
      <c r="G870" s="18"/>
      <c r="I870" s="18"/>
      <c r="J870" s="18"/>
      <c r="K870" s="18"/>
      <c r="L870" s="18"/>
      <c r="M870" s="18"/>
      <c r="N870" s="18"/>
      <c r="O870" s="18"/>
      <c r="P870" s="18"/>
      <c r="Q870" s="18"/>
      <c r="W870" s="18"/>
      <c r="X870" s="18"/>
      <c r="Y870" s="18"/>
    </row>
    <row r="871" spans="6:25" ht="15.75" customHeight="1">
      <c r="F871" s="18"/>
      <c r="G871" s="18"/>
      <c r="I871" s="18"/>
      <c r="J871" s="18"/>
      <c r="K871" s="18"/>
      <c r="L871" s="18"/>
      <c r="M871" s="18"/>
      <c r="N871" s="18"/>
      <c r="O871" s="18"/>
      <c r="P871" s="18"/>
      <c r="Q871" s="18"/>
      <c r="W871" s="18"/>
      <c r="X871" s="18"/>
      <c r="Y871" s="18"/>
    </row>
    <row r="872" spans="6:25" ht="15.75" customHeight="1">
      <c r="F872" s="18"/>
      <c r="G872" s="18"/>
      <c r="I872" s="18"/>
      <c r="J872" s="18"/>
      <c r="K872" s="18"/>
      <c r="L872" s="18"/>
      <c r="M872" s="18"/>
      <c r="N872" s="18"/>
      <c r="O872" s="18"/>
      <c r="P872" s="18"/>
      <c r="Q872" s="18"/>
      <c r="W872" s="18"/>
      <c r="X872" s="18"/>
      <c r="Y872" s="18"/>
    </row>
    <row r="873" spans="6:25" ht="15.75" customHeight="1">
      <c r="F873" s="18"/>
      <c r="G873" s="18"/>
      <c r="I873" s="18"/>
      <c r="J873" s="18"/>
      <c r="K873" s="18"/>
      <c r="L873" s="18"/>
      <c r="M873" s="18"/>
      <c r="N873" s="18"/>
      <c r="O873" s="18"/>
      <c r="P873" s="18"/>
      <c r="Q873" s="18"/>
      <c r="W873" s="18"/>
      <c r="X873" s="18"/>
      <c r="Y873" s="18"/>
    </row>
    <row r="874" spans="6:25" ht="15.75" customHeight="1">
      <c r="F874" s="18"/>
      <c r="G874" s="18"/>
      <c r="I874" s="18"/>
      <c r="J874" s="18"/>
      <c r="K874" s="18"/>
      <c r="L874" s="18"/>
      <c r="M874" s="18"/>
      <c r="N874" s="18"/>
      <c r="O874" s="18"/>
      <c r="P874" s="18"/>
      <c r="Q874" s="18"/>
      <c r="W874" s="18"/>
      <c r="X874" s="18"/>
      <c r="Y874" s="18"/>
    </row>
    <row r="875" spans="6:25" ht="15.75" customHeight="1">
      <c r="F875" s="18"/>
      <c r="G875" s="18"/>
      <c r="I875" s="18"/>
      <c r="J875" s="18"/>
      <c r="K875" s="18"/>
      <c r="L875" s="18"/>
      <c r="M875" s="18"/>
      <c r="N875" s="18"/>
      <c r="O875" s="18"/>
      <c r="P875" s="18"/>
      <c r="Q875" s="18"/>
      <c r="W875" s="18"/>
      <c r="X875" s="18"/>
      <c r="Y875" s="18"/>
    </row>
    <row r="876" spans="6:25" ht="15.75" customHeight="1">
      <c r="F876" s="18"/>
      <c r="G876" s="18"/>
      <c r="I876" s="18"/>
      <c r="J876" s="18"/>
      <c r="K876" s="18"/>
      <c r="L876" s="18"/>
      <c r="M876" s="18"/>
      <c r="N876" s="18"/>
      <c r="O876" s="18"/>
      <c r="P876" s="18"/>
      <c r="Q876" s="18"/>
      <c r="W876" s="18"/>
      <c r="X876" s="18"/>
      <c r="Y876" s="18"/>
    </row>
    <row r="877" spans="6:25" ht="15.75" customHeight="1">
      <c r="F877" s="18"/>
      <c r="G877" s="18"/>
      <c r="I877" s="18"/>
      <c r="J877" s="18"/>
      <c r="K877" s="18"/>
      <c r="L877" s="18"/>
      <c r="M877" s="18"/>
      <c r="N877" s="18"/>
      <c r="O877" s="18"/>
      <c r="P877" s="18"/>
      <c r="Q877" s="18"/>
      <c r="W877" s="18"/>
      <c r="X877" s="18"/>
      <c r="Y877" s="18"/>
    </row>
    <row r="878" spans="6:25" ht="15.75" customHeight="1">
      <c r="F878" s="18"/>
      <c r="G878" s="18"/>
      <c r="I878" s="18"/>
      <c r="J878" s="18"/>
      <c r="K878" s="18"/>
      <c r="L878" s="18"/>
      <c r="M878" s="18"/>
      <c r="N878" s="18"/>
      <c r="O878" s="18"/>
      <c r="P878" s="18"/>
      <c r="Q878" s="18"/>
      <c r="W878" s="18"/>
      <c r="X878" s="18"/>
      <c r="Y878" s="18"/>
    </row>
    <row r="879" spans="6:25" ht="15.75" customHeight="1">
      <c r="F879" s="18"/>
      <c r="G879" s="18"/>
      <c r="I879" s="18"/>
      <c r="J879" s="18"/>
      <c r="K879" s="18"/>
      <c r="L879" s="18"/>
      <c r="M879" s="18"/>
      <c r="N879" s="18"/>
      <c r="O879" s="18"/>
      <c r="P879" s="18"/>
      <c r="Q879" s="18"/>
      <c r="W879" s="18"/>
      <c r="X879" s="18"/>
      <c r="Y879" s="18"/>
    </row>
    <row r="880" spans="6:25" ht="15.75" customHeight="1">
      <c r="F880" s="18"/>
      <c r="G880" s="18"/>
      <c r="I880" s="18"/>
      <c r="J880" s="18"/>
      <c r="K880" s="18"/>
      <c r="L880" s="18"/>
      <c r="M880" s="18"/>
      <c r="N880" s="18"/>
      <c r="O880" s="18"/>
      <c r="P880" s="18"/>
      <c r="Q880" s="18"/>
      <c r="W880" s="18"/>
      <c r="X880" s="18"/>
      <c r="Y880" s="18"/>
    </row>
    <row r="881" spans="6:25" ht="15.75" customHeight="1">
      <c r="F881" s="18"/>
      <c r="G881" s="18"/>
      <c r="I881" s="18"/>
      <c r="J881" s="18"/>
      <c r="K881" s="18"/>
      <c r="L881" s="18"/>
      <c r="M881" s="18"/>
      <c r="N881" s="18"/>
      <c r="O881" s="18"/>
      <c r="P881" s="18"/>
      <c r="Q881" s="18"/>
      <c r="W881" s="18"/>
      <c r="X881" s="18"/>
      <c r="Y881" s="18"/>
    </row>
    <row r="882" spans="6:25" ht="15.75" customHeight="1">
      <c r="F882" s="18"/>
      <c r="G882" s="18"/>
      <c r="I882" s="18"/>
      <c r="J882" s="18"/>
      <c r="K882" s="18"/>
      <c r="L882" s="18"/>
      <c r="M882" s="18"/>
      <c r="N882" s="18"/>
      <c r="O882" s="18"/>
      <c r="P882" s="18"/>
      <c r="Q882" s="18"/>
      <c r="W882" s="18"/>
      <c r="X882" s="18"/>
      <c r="Y882" s="18"/>
    </row>
    <row r="883" spans="6:25" ht="15.75" customHeight="1">
      <c r="F883" s="18"/>
      <c r="G883" s="18"/>
      <c r="I883" s="18"/>
      <c r="J883" s="18"/>
      <c r="K883" s="18"/>
      <c r="L883" s="18"/>
      <c r="M883" s="18"/>
      <c r="N883" s="18"/>
      <c r="O883" s="18"/>
      <c r="P883" s="18"/>
      <c r="Q883" s="18"/>
      <c r="W883" s="18"/>
      <c r="X883" s="18"/>
      <c r="Y883" s="18"/>
    </row>
    <row r="884" spans="6:25" ht="15.75" customHeight="1">
      <c r="F884" s="18"/>
      <c r="G884" s="18"/>
      <c r="I884" s="18"/>
      <c r="J884" s="18"/>
      <c r="K884" s="18"/>
      <c r="L884" s="18"/>
      <c r="M884" s="18"/>
      <c r="N884" s="18"/>
      <c r="O884" s="18"/>
      <c r="P884" s="18"/>
      <c r="Q884" s="18"/>
      <c r="W884" s="18"/>
      <c r="X884" s="18"/>
      <c r="Y884" s="18"/>
    </row>
    <row r="885" spans="6:25" ht="15.75" customHeight="1">
      <c r="F885" s="18"/>
      <c r="G885" s="18"/>
      <c r="I885" s="18"/>
      <c r="J885" s="18"/>
      <c r="K885" s="18"/>
      <c r="L885" s="18"/>
      <c r="M885" s="18"/>
      <c r="N885" s="18"/>
      <c r="O885" s="18"/>
      <c r="P885" s="18"/>
      <c r="Q885" s="18"/>
      <c r="W885" s="18"/>
      <c r="X885" s="18"/>
      <c r="Y885" s="18"/>
    </row>
    <row r="886" spans="6:25" ht="15.75" customHeight="1">
      <c r="F886" s="18"/>
      <c r="G886" s="18"/>
      <c r="I886" s="18"/>
      <c r="J886" s="18"/>
      <c r="K886" s="18"/>
      <c r="L886" s="18"/>
      <c r="M886" s="18"/>
      <c r="N886" s="18"/>
      <c r="O886" s="18"/>
      <c r="P886" s="18"/>
      <c r="Q886" s="18"/>
      <c r="W886" s="18"/>
      <c r="X886" s="18"/>
      <c r="Y886" s="18"/>
    </row>
    <row r="887" spans="6:25" ht="15.75" customHeight="1">
      <c r="F887" s="18"/>
      <c r="G887" s="18"/>
      <c r="I887" s="18"/>
      <c r="J887" s="18"/>
      <c r="K887" s="18"/>
      <c r="L887" s="18"/>
      <c r="M887" s="18"/>
      <c r="N887" s="18"/>
      <c r="O887" s="18"/>
      <c r="P887" s="18"/>
      <c r="Q887" s="18"/>
      <c r="W887" s="18"/>
      <c r="X887" s="18"/>
      <c r="Y887" s="18"/>
    </row>
    <row r="888" spans="6:25" ht="15.75" customHeight="1">
      <c r="F888" s="18"/>
      <c r="G888" s="18"/>
      <c r="I888" s="18"/>
      <c r="J888" s="18"/>
      <c r="K888" s="18"/>
      <c r="L888" s="18"/>
      <c r="M888" s="18"/>
      <c r="N888" s="18"/>
      <c r="O888" s="18"/>
      <c r="P888" s="18"/>
      <c r="Q888" s="18"/>
      <c r="W888" s="18"/>
      <c r="X888" s="18"/>
      <c r="Y888" s="18"/>
    </row>
    <row r="889" spans="6:25" ht="15.75" customHeight="1">
      <c r="F889" s="18"/>
      <c r="G889" s="18"/>
      <c r="I889" s="18"/>
      <c r="J889" s="18"/>
      <c r="K889" s="18"/>
      <c r="L889" s="18"/>
      <c r="M889" s="18"/>
      <c r="N889" s="18"/>
      <c r="O889" s="18"/>
      <c r="P889" s="18"/>
      <c r="Q889" s="18"/>
      <c r="W889" s="18"/>
      <c r="X889" s="18"/>
      <c r="Y889" s="18"/>
    </row>
    <row r="890" spans="6:25" ht="15.75" customHeight="1">
      <c r="F890" s="18"/>
      <c r="G890" s="18"/>
      <c r="I890" s="18"/>
      <c r="J890" s="18"/>
      <c r="K890" s="18"/>
      <c r="L890" s="18"/>
      <c r="M890" s="18"/>
      <c r="N890" s="18"/>
      <c r="O890" s="18"/>
      <c r="P890" s="18"/>
      <c r="Q890" s="18"/>
      <c r="W890" s="18"/>
      <c r="X890" s="18"/>
      <c r="Y890" s="18"/>
    </row>
    <row r="891" spans="6:25" ht="15.75" customHeight="1">
      <c r="F891" s="18"/>
      <c r="G891" s="18"/>
      <c r="I891" s="18"/>
      <c r="J891" s="18"/>
      <c r="K891" s="18"/>
      <c r="L891" s="18"/>
      <c r="M891" s="18"/>
      <c r="N891" s="18"/>
      <c r="O891" s="18"/>
      <c r="P891" s="18"/>
      <c r="Q891" s="18"/>
      <c r="W891" s="18"/>
      <c r="X891" s="18"/>
      <c r="Y891" s="18"/>
    </row>
    <row r="892" spans="6:25" ht="15.75" customHeight="1">
      <c r="F892" s="18"/>
      <c r="G892" s="18"/>
      <c r="I892" s="18"/>
      <c r="J892" s="18"/>
      <c r="K892" s="18"/>
      <c r="L892" s="18"/>
      <c r="M892" s="18"/>
      <c r="N892" s="18"/>
      <c r="O892" s="18"/>
      <c r="P892" s="18"/>
      <c r="Q892" s="18"/>
      <c r="W892" s="18"/>
      <c r="X892" s="18"/>
      <c r="Y892" s="18"/>
    </row>
    <row r="893" spans="6:25" ht="15.75" customHeight="1">
      <c r="F893" s="18"/>
      <c r="G893" s="18"/>
      <c r="I893" s="18"/>
      <c r="J893" s="18"/>
      <c r="K893" s="18"/>
      <c r="L893" s="18"/>
      <c r="M893" s="18"/>
      <c r="N893" s="18"/>
      <c r="O893" s="18"/>
      <c r="P893" s="18"/>
      <c r="Q893" s="18"/>
      <c r="W893" s="18"/>
      <c r="X893" s="18"/>
      <c r="Y893" s="18"/>
    </row>
    <row r="894" spans="6:25" ht="15.75" customHeight="1">
      <c r="F894" s="18"/>
      <c r="G894" s="18"/>
      <c r="I894" s="18"/>
      <c r="J894" s="18"/>
      <c r="K894" s="18"/>
      <c r="L894" s="18"/>
      <c r="M894" s="18"/>
      <c r="N894" s="18"/>
      <c r="O894" s="18"/>
      <c r="P894" s="18"/>
      <c r="Q894" s="18"/>
      <c r="W894" s="18"/>
      <c r="X894" s="18"/>
      <c r="Y894" s="18"/>
    </row>
    <row r="895" spans="6:25" ht="15.75" customHeight="1">
      <c r="F895" s="18"/>
      <c r="G895" s="18"/>
      <c r="I895" s="18"/>
      <c r="J895" s="18"/>
      <c r="K895" s="18"/>
      <c r="L895" s="18"/>
      <c r="M895" s="18"/>
      <c r="N895" s="18"/>
      <c r="O895" s="18"/>
      <c r="P895" s="18"/>
      <c r="Q895" s="18"/>
      <c r="W895" s="18"/>
      <c r="X895" s="18"/>
      <c r="Y895" s="18"/>
    </row>
    <row r="896" spans="6:25" ht="15.75" customHeight="1">
      <c r="F896" s="18"/>
      <c r="G896" s="18"/>
      <c r="I896" s="18"/>
      <c r="J896" s="18"/>
      <c r="K896" s="18"/>
      <c r="L896" s="18"/>
      <c r="M896" s="18"/>
      <c r="N896" s="18"/>
      <c r="O896" s="18"/>
      <c r="P896" s="18"/>
      <c r="Q896" s="18"/>
      <c r="W896" s="18"/>
      <c r="X896" s="18"/>
      <c r="Y896" s="18"/>
    </row>
    <row r="897" spans="6:25" ht="15.75" customHeight="1">
      <c r="F897" s="18"/>
      <c r="G897" s="18"/>
      <c r="I897" s="18"/>
      <c r="J897" s="18"/>
      <c r="K897" s="18"/>
      <c r="L897" s="18"/>
      <c r="M897" s="18"/>
      <c r="N897" s="18"/>
      <c r="O897" s="18"/>
      <c r="P897" s="18"/>
      <c r="Q897" s="18"/>
      <c r="W897" s="18"/>
      <c r="X897" s="18"/>
      <c r="Y897" s="18"/>
    </row>
    <row r="898" spans="6:25" ht="15.75" customHeight="1">
      <c r="F898" s="18"/>
      <c r="G898" s="18"/>
      <c r="I898" s="18"/>
      <c r="J898" s="18"/>
      <c r="K898" s="18"/>
      <c r="L898" s="18"/>
      <c r="M898" s="18"/>
      <c r="N898" s="18"/>
      <c r="O898" s="18"/>
      <c r="P898" s="18"/>
      <c r="Q898" s="18"/>
      <c r="W898" s="18"/>
      <c r="X898" s="18"/>
      <c r="Y898" s="18"/>
    </row>
    <row r="899" spans="6:25" ht="15.75" customHeight="1">
      <c r="F899" s="18"/>
      <c r="G899" s="18"/>
      <c r="I899" s="18"/>
      <c r="J899" s="18"/>
      <c r="K899" s="18"/>
      <c r="L899" s="18"/>
      <c r="M899" s="18"/>
      <c r="N899" s="18"/>
      <c r="O899" s="18"/>
      <c r="P899" s="18"/>
      <c r="Q899" s="18"/>
      <c r="W899" s="18"/>
      <c r="X899" s="18"/>
      <c r="Y899" s="18"/>
    </row>
    <row r="900" spans="6:25" ht="15.75" customHeight="1">
      <c r="F900" s="18"/>
      <c r="G900" s="18"/>
      <c r="I900" s="18"/>
      <c r="J900" s="18"/>
      <c r="K900" s="18"/>
      <c r="L900" s="18"/>
      <c r="M900" s="18"/>
      <c r="N900" s="18"/>
      <c r="O900" s="18"/>
      <c r="P900" s="18"/>
      <c r="Q900" s="18"/>
      <c r="W900" s="18"/>
      <c r="X900" s="18"/>
      <c r="Y900" s="18"/>
    </row>
    <row r="901" spans="6:25" ht="15.75" customHeight="1">
      <c r="F901" s="18"/>
      <c r="G901" s="18"/>
      <c r="I901" s="18"/>
      <c r="J901" s="18"/>
      <c r="K901" s="18"/>
      <c r="L901" s="18"/>
      <c r="M901" s="18"/>
      <c r="N901" s="18"/>
      <c r="O901" s="18"/>
      <c r="P901" s="18"/>
      <c r="Q901" s="18"/>
      <c r="W901" s="18"/>
      <c r="X901" s="18"/>
      <c r="Y901" s="18"/>
    </row>
    <row r="902" spans="6:25" ht="15.75" customHeight="1">
      <c r="F902" s="18"/>
      <c r="G902" s="18"/>
      <c r="I902" s="18"/>
      <c r="J902" s="18"/>
      <c r="K902" s="18"/>
      <c r="L902" s="18"/>
      <c r="M902" s="18"/>
      <c r="N902" s="18"/>
      <c r="O902" s="18"/>
      <c r="P902" s="18"/>
      <c r="Q902" s="18"/>
      <c r="W902" s="18"/>
      <c r="X902" s="18"/>
      <c r="Y902" s="18"/>
    </row>
    <row r="903" spans="6:25" ht="15.75" customHeight="1">
      <c r="F903" s="18"/>
      <c r="G903" s="18"/>
      <c r="I903" s="18"/>
      <c r="J903" s="18"/>
      <c r="K903" s="18"/>
      <c r="L903" s="18"/>
      <c r="M903" s="18"/>
      <c r="N903" s="18"/>
      <c r="O903" s="18"/>
      <c r="P903" s="18"/>
      <c r="Q903" s="18"/>
      <c r="W903" s="18"/>
      <c r="X903" s="18"/>
      <c r="Y903" s="18"/>
    </row>
    <row r="904" spans="6:25" ht="15.75" customHeight="1">
      <c r="F904" s="18"/>
      <c r="G904" s="18"/>
      <c r="I904" s="18"/>
      <c r="J904" s="18"/>
      <c r="K904" s="18"/>
      <c r="L904" s="18"/>
      <c r="M904" s="18"/>
      <c r="N904" s="18"/>
      <c r="O904" s="18"/>
      <c r="P904" s="18"/>
      <c r="Q904" s="18"/>
      <c r="W904" s="18"/>
      <c r="X904" s="18"/>
      <c r="Y904" s="18"/>
    </row>
    <row r="905" spans="6:25" ht="15.75" customHeight="1">
      <c r="F905" s="18"/>
      <c r="G905" s="18"/>
      <c r="I905" s="18"/>
      <c r="J905" s="18"/>
      <c r="K905" s="18"/>
      <c r="L905" s="18"/>
      <c r="M905" s="18"/>
      <c r="N905" s="18"/>
      <c r="O905" s="18"/>
      <c r="P905" s="18"/>
      <c r="Q905" s="18"/>
      <c r="W905" s="18"/>
      <c r="X905" s="18"/>
      <c r="Y905" s="18"/>
    </row>
    <row r="906" spans="6:25" ht="15.75" customHeight="1">
      <c r="F906" s="18"/>
      <c r="G906" s="18"/>
      <c r="I906" s="18"/>
      <c r="J906" s="18"/>
      <c r="K906" s="18"/>
      <c r="L906" s="18"/>
      <c r="M906" s="18"/>
      <c r="N906" s="18"/>
      <c r="O906" s="18"/>
      <c r="P906" s="18"/>
      <c r="Q906" s="18"/>
      <c r="W906" s="18"/>
      <c r="X906" s="18"/>
      <c r="Y906" s="18"/>
    </row>
    <row r="907" spans="6:25" ht="15.75" customHeight="1">
      <c r="F907" s="18"/>
      <c r="G907" s="18"/>
      <c r="I907" s="18"/>
      <c r="J907" s="18"/>
      <c r="K907" s="18"/>
      <c r="L907" s="18"/>
      <c r="M907" s="18"/>
      <c r="N907" s="18"/>
      <c r="O907" s="18"/>
      <c r="P907" s="18"/>
      <c r="Q907" s="18"/>
      <c r="W907" s="18"/>
      <c r="X907" s="18"/>
      <c r="Y907" s="18"/>
    </row>
    <row r="908" spans="6:25" ht="15.75" customHeight="1">
      <c r="F908" s="18"/>
      <c r="G908" s="18"/>
      <c r="I908" s="18"/>
      <c r="J908" s="18"/>
      <c r="K908" s="18"/>
      <c r="L908" s="18"/>
      <c r="M908" s="18"/>
      <c r="N908" s="18"/>
      <c r="O908" s="18"/>
      <c r="P908" s="18"/>
      <c r="Q908" s="18"/>
      <c r="W908" s="18"/>
      <c r="X908" s="18"/>
      <c r="Y908" s="18"/>
    </row>
    <row r="909" spans="6:25" ht="15.75" customHeight="1">
      <c r="F909" s="18"/>
      <c r="G909" s="18"/>
      <c r="I909" s="18"/>
      <c r="J909" s="18"/>
      <c r="K909" s="18"/>
      <c r="L909" s="18"/>
      <c r="M909" s="18"/>
      <c r="N909" s="18"/>
      <c r="O909" s="18"/>
      <c r="P909" s="18"/>
      <c r="Q909" s="18"/>
      <c r="W909" s="18"/>
      <c r="X909" s="18"/>
      <c r="Y909" s="18"/>
    </row>
    <row r="910" spans="6:25" ht="15.75" customHeight="1">
      <c r="F910" s="18"/>
      <c r="G910" s="18"/>
      <c r="I910" s="18"/>
      <c r="J910" s="18"/>
      <c r="K910" s="18"/>
      <c r="L910" s="18"/>
      <c r="M910" s="18"/>
      <c r="N910" s="18"/>
      <c r="O910" s="18"/>
      <c r="P910" s="18"/>
      <c r="Q910" s="18"/>
      <c r="W910" s="18"/>
      <c r="X910" s="18"/>
      <c r="Y910" s="18"/>
    </row>
    <row r="911" spans="6:25" ht="15.75" customHeight="1">
      <c r="F911" s="18"/>
      <c r="G911" s="18"/>
      <c r="I911" s="18"/>
      <c r="J911" s="18"/>
      <c r="K911" s="18"/>
      <c r="L911" s="18"/>
      <c r="M911" s="18"/>
      <c r="N911" s="18"/>
      <c r="O911" s="18"/>
      <c r="P911" s="18"/>
      <c r="Q911" s="18"/>
      <c r="W911" s="18"/>
      <c r="X911" s="18"/>
      <c r="Y911" s="18"/>
    </row>
    <row r="912" spans="6:25" ht="15.75" customHeight="1">
      <c r="F912" s="18"/>
      <c r="G912" s="18"/>
      <c r="I912" s="18"/>
      <c r="J912" s="18"/>
      <c r="K912" s="18"/>
      <c r="L912" s="18"/>
      <c r="M912" s="18"/>
      <c r="N912" s="18"/>
      <c r="O912" s="18"/>
      <c r="P912" s="18"/>
      <c r="Q912" s="18"/>
      <c r="W912" s="18"/>
      <c r="X912" s="18"/>
      <c r="Y912" s="18"/>
    </row>
    <row r="913" spans="6:25" ht="15.75" customHeight="1">
      <c r="F913" s="18"/>
      <c r="G913" s="18"/>
      <c r="I913" s="18"/>
      <c r="J913" s="18"/>
      <c r="K913" s="18"/>
      <c r="L913" s="18"/>
      <c r="M913" s="18"/>
      <c r="N913" s="18"/>
      <c r="O913" s="18"/>
      <c r="P913" s="18"/>
      <c r="Q913" s="18"/>
      <c r="W913" s="18"/>
      <c r="X913" s="18"/>
      <c r="Y913" s="18"/>
    </row>
    <row r="914" spans="6:25" ht="15.75" customHeight="1">
      <c r="F914" s="18"/>
      <c r="G914" s="18"/>
      <c r="I914" s="18"/>
      <c r="J914" s="18"/>
      <c r="K914" s="18"/>
      <c r="L914" s="18"/>
      <c r="M914" s="18"/>
      <c r="N914" s="18"/>
      <c r="O914" s="18"/>
      <c r="P914" s="18"/>
      <c r="Q914" s="18"/>
      <c r="W914" s="18"/>
      <c r="X914" s="18"/>
      <c r="Y914" s="18"/>
    </row>
    <row r="915" spans="6:25" ht="15.75" customHeight="1">
      <c r="F915" s="18"/>
      <c r="G915" s="18"/>
      <c r="I915" s="18"/>
      <c r="J915" s="18"/>
      <c r="K915" s="18"/>
      <c r="L915" s="18"/>
      <c r="M915" s="18"/>
      <c r="N915" s="18"/>
      <c r="O915" s="18"/>
      <c r="P915" s="18"/>
      <c r="Q915" s="18"/>
      <c r="W915" s="18"/>
      <c r="X915" s="18"/>
      <c r="Y915" s="18"/>
    </row>
    <row r="916" spans="6:25" ht="15.75" customHeight="1">
      <c r="F916" s="18"/>
      <c r="G916" s="18"/>
      <c r="I916" s="18"/>
      <c r="J916" s="18"/>
      <c r="K916" s="18"/>
      <c r="L916" s="18"/>
      <c r="M916" s="18"/>
      <c r="N916" s="18"/>
      <c r="O916" s="18"/>
      <c r="P916" s="18"/>
      <c r="Q916" s="18"/>
      <c r="W916" s="18"/>
      <c r="X916" s="18"/>
      <c r="Y916" s="18"/>
    </row>
    <row r="917" spans="6:25" ht="15.75" customHeight="1">
      <c r="F917" s="18"/>
      <c r="G917" s="18"/>
      <c r="I917" s="18"/>
      <c r="J917" s="18"/>
      <c r="K917" s="18"/>
      <c r="L917" s="18"/>
      <c r="M917" s="18"/>
      <c r="N917" s="18"/>
      <c r="O917" s="18"/>
      <c r="P917" s="18"/>
      <c r="Q917" s="18"/>
      <c r="W917" s="18"/>
      <c r="X917" s="18"/>
      <c r="Y917" s="18"/>
    </row>
    <row r="918" spans="6:25" ht="15.75" customHeight="1">
      <c r="F918" s="18"/>
      <c r="G918" s="18"/>
      <c r="I918" s="18"/>
      <c r="J918" s="18"/>
      <c r="K918" s="18"/>
      <c r="L918" s="18"/>
      <c r="M918" s="18"/>
      <c r="N918" s="18"/>
      <c r="O918" s="18"/>
      <c r="P918" s="18"/>
      <c r="Q918" s="18"/>
      <c r="W918" s="18"/>
      <c r="X918" s="18"/>
      <c r="Y918" s="18"/>
    </row>
    <row r="919" spans="6:25" ht="15.75" customHeight="1">
      <c r="F919" s="18"/>
      <c r="G919" s="18"/>
      <c r="I919" s="18"/>
      <c r="J919" s="18"/>
      <c r="K919" s="18"/>
      <c r="L919" s="18"/>
      <c r="M919" s="18"/>
      <c r="N919" s="18"/>
      <c r="O919" s="18"/>
      <c r="P919" s="18"/>
      <c r="Q919" s="18"/>
      <c r="W919" s="18"/>
      <c r="X919" s="18"/>
      <c r="Y919" s="18"/>
    </row>
    <row r="920" spans="6:25" ht="15.75" customHeight="1">
      <c r="F920" s="18"/>
      <c r="G920" s="18"/>
      <c r="I920" s="18"/>
      <c r="J920" s="18"/>
      <c r="K920" s="18"/>
      <c r="L920" s="18"/>
      <c r="M920" s="18"/>
      <c r="N920" s="18"/>
      <c r="O920" s="18"/>
      <c r="P920" s="18"/>
      <c r="Q920" s="18"/>
      <c r="W920" s="18"/>
      <c r="X920" s="18"/>
      <c r="Y920" s="18"/>
    </row>
    <row r="921" spans="6:25" ht="15.75" customHeight="1">
      <c r="F921" s="18"/>
      <c r="G921" s="18"/>
      <c r="I921" s="18"/>
      <c r="J921" s="18"/>
      <c r="K921" s="18"/>
      <c r="L921" s="18"/>
      <c r="M921" s="18"/>
      <c r="N921" s="18"/>
      <c r="O921" s="18"/>
      <c r="P921" s="18"/>
      <c r="Q921" s="18"/>
      <c r="W921" s="18"/>
      <c r="X921" s="18"/>
      <c r="Y921" s="18"/>
    </row>
    <row r="922" spans="6:25" ht="15.75" customHeight="1">
      <c r="F922" s="18"/>
      <c r="G922" s="18"/>
      <c r="I922" s="18"/>
      <c r="J922" s="18"/>
      <c r="K922" s="18"/>
      <c r="L922" s="18"/>
      <c r="M922" s="18"/>
      <c r="N922" s="18"/>
      <c r="O922" s="18"/>
      <c r="P922" s="18"/>
      <c r="Q922" s="18"/>
      <c r="W922" s="18"/>
      <c r="X922" s="18"/>
      <c r="Y922" s="18"/>
    </row>
    <row r="923" spans="6:25" ht="15.75" customHeight="1">
      <c r="F923" s="18"/>
      <c r="G923" s="18"/>
      <c r="I923" s="18"/>
      <c r="J923" s="18"/>
      <c r="K923" s="18"/>
      <c r="L923" s="18"/>
      <c r="M923" s="18"/>
      <c r="N923" s="18"/>
      <c r="O923" s="18"/>
      <c r="P923" s="18"/>
      <c r="Q923" s="18"/>
      <c r="W923" s="18"/>
      <c r="X923" s="18"/>
      <c r="Y923" s="18"/>
    </row>
    <row r="924" spans="6:25" ht="15.75" customHeight="1">
      <c r="F924" s="18"/>
      <c r="G924" s="18"/>
      <c r="I924" s="18"/>
      <c r="J924" s="18"/>
      <c r="K924" s="18"/>
      <c r="L924" s="18"/>
      <c r="M924" s="18"/>
      <c r="N924" s="18"/>
      <c r="O924" s="18"/>
      <c r="P924" s="18"/>
      <c r="Q924" s="18"/>
      <c r="W924" s="18"/>
      <c r="X924" s="18"/>
      <c r="Y924" s="18"/>
    </row>
    <row r="925" spans="6:25" ht="15.75" customHeight="1">
      <c r="F925" s="18"/>
      <c r="G925" s="18"/>
      <c r="I925" s="18"/>
      <c r="J925" s="18"/>
      <c r="K925" s="18"/>
      <c r="L925" s="18"/>
      <c r="M925" s="18"/>
      <c r="N925" s="18"/>
      <c r="O925" s="18"/>
      <c r="P925" s="18"/>
      <c r="Q925" s="18"/>
      <c r="W925" s="18"/>
      <c r="X925" s="18"/>
      <c r="Y925" s="18"/>
    </row>
    <row r="926" spans="6:25" ht="15.75" customHeight="1">
      <c r="F926" s="18"/>
      <c r="G926" s="18"/>
      <c r="I926" s="18"/>
      <c r="J926" s="18"/>
      <c r="K926" s="18"/>
      <c r="L926" s="18"/>
      <c r="M926" s="18"/>
      <c r="N926" s="18"/>
      <c r="O926" s="18"/>
      <c r="P926" s="18"/>
      <c r="Q926" s="18"/>
      <c r="W926" s="18"/>
      <c r="X926" s="18"/>
      <c r="Y926" s="18"/>
    </row>
    <row r="927" spans="6:25" ht="15.75" customHeight="1">
      <c r="F927" s="18"/>
      <c r="G927" s="18"/>
      <c r="I927" s="18"/>
      <c r="J927" s="18"/>
      <c r="K927" s="18"/>
      <c r="L927" s="18"/>
      <c r="M927" s="18"/>
      <c r="N927" s="18"/>
      <c r="O927" s="18"/>
      <c r="P927" s="18"/>
      <c r="Q927" s="18"/>
      <c r="W927" s="18"/>
      <c r="X927" s="18"/>
      <c r="Y927" s="18"/>
    </row>
    <row r="928" spans="6:25" ht="15.75" customHeight="1">
      <c r="F928" s="18"/>
      <c r="G928" s="18"/>
      <c r="I928" s="18"/>
      <c r="J928" s="18"/>
      <c r="K928" s="18"/>
      <c r="L928" s="18"/>
      <c r="M928" s="18"/>
      <c r="N928" s="18"/>
      <c r="O928" s="18"/>
      <c r="P928" s="18"/>
      <c r="Q928" s="18"/>
      <c r="W928" s="18"/>
      <c r="X928" s="18"/>
      <c r="Y928" s="18"/>
    </row>
    <row r="929" spans="6:25" ht="15.75" customHeight="1">
      <c r="F929" s="18"/>
      <c r="G929" s="18"/>
      <c r="I929" s="18"/>
      <c r="J929" s="18"/>
      <c r="K929" s="18"/>
      <c r="L929" s="18"/>
      <c r="M929" s="18"/>
      <c r="N929" s="18"/>
      <c r="O929" s="18"/>
      <c r="P929" s="18"/>
      <c r="Q929" s="18"/>
      <c r="W929" s="18"/>
      <c r="X929" s="18"/>
      <c r="Y929" s="18"/>
    </row>
    <row r="930" spans="6:25" ht="15.75" customHeight="1">
      <c r="F930" s="18"/>
      <c r="G930" s="18"/>
      <c r="I930" s="18"/>
      <c r="J930" s="18"/>
      <c r="K930" s="18"/>
      <c r="L930" s="18"/>
      <c r="M930" s="18"/>
      <c r="N930" s="18"/>
      <c r="O930" s="18"/>
      <c r="P930" s="18"/>
      <c r="Q930" s="18"/>
      <c r="W930" s="18"/>
      <c r="X930" s="18"/>
      <c r="Y930" s="18"/>
    </row>
    <row r="931" spans="6:25" ht="15.75" customHeight="1">
      <c r="F931" s="18"/>
      <c r="G931" s="18"/>
      <c r="I931" s="18"/>
      <c r="J931" s="18"/>
      <c r="K931" s="18"/>
      <c r="L931" s="18"/>
      <c r="M931" s="18"/>
      <c r="N931" s="18"/>
      <c r="O931" s="18"/>
      <c r="P931" s="18"/>
      <c r="Q931" s="18"/>
      <c r="W931" s="18"/>
      <c r="X931" s="18"/>
      <c r="Y931" s="18"/>
    </row>
    <row r="932" spans="6:25" ht="15.75" customHeight="1">
      <c r="F932" s="18"/>
      <c r="G932" s="18"/>
      <c r="I932" s="18"/>
      <c r="J932" s="18"/>
      <c r="K932" s="18"/>
      <c r="L932" s="18"/>
      <c r="M932" s="18"/>
      <c r="N932" s="18"/>
      <c r="O932" s="18"/>
      <c r="P932" s="18"/>
      <c r="Q932" s="18"/>
      <c r="W932" s="18"/>
      <c r="X932" s="18"/>
      <c r="Y932" s="18"/>
    </row>
    <row r="933" spans="6:25" ht="15.75" customHeight="1">
      <c r="F933" s="18"/>
      <c r="G933" s="18"/>
      <c r="I933" s="18"/>
      <c r="J933" s="18"/>
      <c r="K933" s="18"/>
      <c r="L933" s="18"/>
      <c r="M933" s="18"/>
      <c r="N933" s="18"/>
      <c r="O933" s="18"/>
      <c r="P933" s="18"/>
      <c r="Q933" s="18"/>
      <c r="W933" s="18"/>
      <c r="X933" s="18"/>
      <c r="Y933" s="18"/>
    </row>
    <row r="934" spans="6:25" ht="15.75" customHeight="1">
      <c r="F934" s="18"/>
      <c r="G934" s="18"/>
      <c r="I934" s="18"/>
      <c r="J934" s="18"/>
      <c r="K934" s="18"/>
      <c r="L934" s="18"/>
      <c r="M934" s="18"/>
      <c r="N934" s="18"/>
      <c r="O934" s="18"/>
      <c r="P934" s="18"/>
      <c r="Q934" s="18"/>
      <c r="W934" s="18"/>
      <c r="X934" s="18"/>
      <c r="Y934" s="18"/>
    </row>
    <row r="935" spans="6:25" ht="15.75" customHeight="1">
      <c r="F935" s="18"/>
      <c r="G935" s="18"/>
      <c r="I935" s="18"/>
      <c r="J935" s="18"/>
      <c r="K935" s="18"/>
      <c r="L935" s="18"/>
      <c r="M935" s="18"/>
      <c r="N935" s="18"/>
      <c r="O935" s="18"/>
      <c r="P935" s="18"/>
      <c r="Q935" s="18"/>
      <c r="W935" s="18"/>
      <c r="X935" s="18"/>
      <c r="Y935" s="18"/>
    </row>
    <row r="936" spans="6:25" ht="15.75" customHeight="1">
      <c r="F936" s="18"/>
      <c r="G936" s="18"/>
      <c r="I936" s="18"/>
      <c r="J936" s="18"/>
      <c r="K936" s="18"/>
      <c r="L936" s="18"/>
      <c r="M936" s="18"/>
      <c r="N936" s="18"/>
      <c r="O936" s="18"/>
      <c r="P936" s="18"/>
      <c r="Q936" s="18"/>
      <c r="W936" s="18"/>
      <c r="X936" s="18"/>
      <c r="Y936" s="18"/>
    </row>
    <row r="937" spans="6:25" ht="15.75" customHeight="1">
      <c r="F937" s="18"/>
      <c r="G937" s="18"/>
      <c r="I937" s="18"/>
      <c r="J937" s="18"/>
      <c r="K937" s="18"/>
      <c r="L937" s="18"/>
      <c r="M937" s="18"/>
      <c r="N937" s="18"/>
      <c r="O937" s="18"/>
      <c r="P937" s="18"/>
      <c r="Q937" s="18"/>
      <c r="W937" s="18"/>
      <c r="X937" s="18"/>
      <c r="Y937" s="18"/>
    </row>
    <row r="938" spans="6:25" ht="15.75" customHeight="1">
      <c r="F938" s="18"/>
      <c r="G938" s="18"/>
      <c r="I938" s="18"/>
      <c r="J938" s="18"/>
      <c r="K938" s="18"/>
      <c r="L938" s="18"/>
      <c r="M938" s="18"/>
      <c r="N938" s="18"/>
      <c r="O938" s="18"/>
      <c r="P938" s="18"/>
      <c r="Q938" s="18"/>
      <c r="W938" s="18"/>
      <c r="X938" s="18"/>
      <c r="Y938" s="18"/>
    </row>
    <row r="939" spans="6:25" ht="15.75" customHeight="1">
      <c r="F939" s="18"/>
      <c r="G939" s="18"/>
      <c r="I939" s="18"/>
      <c r="J939" s="18"/>
      <c r="K939" s="18"/>
      <c r="L939" s="18"/>
      <c r="M939" s="18"/>
      <c r="N939" s="18"/>
      <c r="O939" s="18"/>
      <c r="P939" s="18"/>
      <c r="Q939" s="18"/>
      <c r="W939" s="18"/>
      <c r="X939" s="18"/>
      <c r="Y939" s="18"/>
    </row>
    <row r="940" spans="6:25" ht="15.75" customHeight="1">
      <c r="F940" s="18"/>
      <c r="G940" s="18"/>
      <c r="I940" s="18"/>
      <c r="J940" s="18"/>
      <c r="K940" s="18"/>
      <c r="L940" s="18"/>
      <c r="M940" s="18"/>
      <c r="N940" s="18"/>
      <c r="O940" s="18"/>
      <c r="P940" s="18"/>
      <c r="Q940" s="18"/>
      <c r="W940" s="18"/>
      <c r="X940" s="18"/>
      <c r="Y940" s="18"/>
    </row>
    <row r="941" spans="6:25" ht="15.75" customHeight="1">
      <c r="F941" s="18"/>
      <c r="G941" s="18"/>
      <c r="I941" s="18"/>
      <c r="J941" s="18"/>
      <c r="K941" s="18"/>
      <c r="L941" s="18"/>
      <c r="M941" s="18"/>
      <c r="N941" s="18"/>
      <c r="O941" s="18"/>
      <c r="P941" s="18"/>
      <c r="Q941" s="18"/>
      <c r="W941" s="18"/>
      <c r="X941" s="18"/>
      <c r="Y941" s="18"/>
    </row>
    <row r="942" spans="6:25" ht="15.75" customHeight="1">
      <c r="F942" s="18"/>
      <c r="G942" s="18"/>
      <c r="I942" s="18"/>
      <c r="J942" s="18"/>
      <c r="K942" s="18"/>
      <c r="L942" s="18"/>
      <c r="M942" s="18"/>
      <c r="N942" s="18"/>
      <c r="O942" s="18"/>
      <c r="P942" s="18"/>
      <c r="Q942" s="18"/>
      <c r="W942" s="18"/>
      <c r="X942" s="18"/>
      <c r="Y942" s="18"/>
    </row>
    <row r="943" spans="6:25" ht="15.75" customHeight="1">
      <c r="F943" s="18"/>
      <c r="G943" s="18"/>
      <c r="I943" s="18"/>
      <c r="J943" s="18"/>
      <c r="K943" s="18"/>
      <c r="L943" s="18"/>
      <c r="M943" s="18"/>
      <c r="N943" s="18"/>
      <c r="O943" s="18"/>
      <c r="P943" s="18"/>
      <c r="Q943" s="18"/>
      <c r="W943" s="18"/>
      <c r="X943" s="18"/>
      <c r="Y943" s="18"/>
    </row>
    <row r="944" spans="6:25" ht="15.75" customHeight="1">
      <c r="F944" s="18"/>
      <c r="G944" s="18"/>
      <c r="I944" s="18"/>
      <c r="J944" s="18"/>
      <c r="K944" s="18"/>
      <c r="L944" s="18"/>
      <c r="M944" s="18"/>
      <c r="N944" s="18"/>
      <c r="O944" s="18"/>
      <c r="P944" s="18"/>
      <c r="Q944" s="18"/>
      <c r="W944" s="18"/>
      <c r="X944" s="18"/>
      <c r="Y944" s="18"/>
    </row>
    <row r="945" spans="6:25" ht="15.75" customHeight="1">
      <c r="F945" s="18"/>
      <c r="G945" s="18"/>
      <c r="I945" s="18"/>
      <c r="J945" s="18"/>
      <c r="K945" s="18"/>
      <c r="L945" s="18"/>
      <c r="M945" s="18"/>
      <c r="N945" s="18"/>
      <c r="O945" s="18"/>
      <c r="P945" s="18"/>
      <c r="Q945" s="18"/>
      <c r="W945" s="18"/>
      <c r="X945" s="18"/>
      <c r="Y945" s="18"/>
    </row>
    <row r="946" spans="6:25" ht="15.75" customHeight="1">
      <c r="F946" s="18"/>
      <c r="G946" s="18"/>
      <c r="I946" s="18"/>
      <c r="J946" s="18"/>
      <c r="K946" s="18"/>
      <c r="L946" s="18"/>
      <c r="M946" s="18"/>
      <c r="N946" s="18"/>
      <c r="O946" s="18"/>
      <c r="P946" s="18"/>
      <c r="Q946" s="18"/>
      <c r="W946" s="18"/>
      <c r="X946" s="18"/>
      <c r="Y946" s="18"/>
    </row>
    <row r="947" spans="6:25" ht="15.75" customHeight="1">
      <c r="F947" s="18"/>
      <c r="G947" s="18"/>
      <c r="I947" s="18"/>
      <c r="J947" s="18"/>
      <c r="K947" s="18"/>
      <c r="L947" s="18"/>
      <c r="M947" s="18"/>
      <c r="N947" s="18"/>
      <c r="O947" s="18"/>
      <c r="P947" s="18"/>
      <c r="Q947" s="18"/>
      <c r="W947" s="18"/>
      <c r="X947" s="18"/>
      <c r="Y947" s="18"/>
    </row>
    <row r="948" spans="6:25" ht="15.75" customHeight="1">
      <c r="F948" s="18"/>
      <c r="G948" s="18"/>
      <c r="I948" s="18"/>
      <c r="J948" s="18"/>
      <c r="K948" s="18"/>
      <c r="L948" s="18"/>
      <c r="M948" s="18"/>
      <c r="N948" s="18"/>
      <c r="O948" s="18"/>
      <c r="P948" s="18"/>
      <c r="Q948" s="18"/>
      <c r="W948" s="18"/>
      <c r="X948" s="18"/>
      <c r="Y948" s="18"/>
    </row>
    <row r="949" spans="6:25" ht="15.75" customHeight="1">
      <c r="F949" s="18"/>
      <c r="G949" s="18"/>
      <c r="I949" s="18"/>
      <c r="J949" s="18"/>
      <c r="K949" s="18"/>
      <c r="L949" s="18"/>
      <c r="M949" s="18"/>
      <c r="N949" s="18"/>
      <c r="O949" s="18"/>
      <c r="P949" s="18"/>
      <c r="Q949" s="18"/>
      <c r="W949" s="18"/>
      <c r="X949" s="18"/>
      <c r="Y949" s="18"/>
    </row>
    <row r="950" spans="6:25" ht="15.75" customHeight="1">
      <c r="F950" s="18"/>
      <c r="G950" s="18"/>
      <c r="I950" s="18"/>
      <c r="J950" s="18"/>
      <c r="K950" s="18"/>
      <c r="L950" s="18"/>
      <c r="M950" s="18"/>
      <c r="N950" s="18"/>
      <c r="O950" s="18"/>
      <c r="P950" s="18"/>
      <c r="Q950" s="18"/>
      <c r="W950" s="18"/>
      <c r="X950" s="18"/>
      <c r="Y950" s="18"/>
    </row>
    <row r="951" spans="6:25" ht="15.75" customHeight="1">
      <c r="F951" s="18"/>
      <c r="G951" s="18"/>
      <c r="I951" s="18"/>
      <c r="J951" s="18"/>
      <c r="K951" s="18"/>
      <c r="L951" s="18"/>
      <c r="M951" s="18"/>
      <c r="N951" s="18"/>
      <c r="O951" s="18"/>
      <c r="P951" s="18"/>
      <c r="Q951" s="18"/>
      <c r="W951" s="18"/>
      <c r="X951" s="18"/>
      <c r="Y951" s="18"/>
    </row>
    <row r="952" spans="6:25" ht="15.75" customHeight="1">
      <c r="F952" s="18"/>
      <c r="G952" s="18"/>
      <c r="I952" s="18"/>
      <c r="J952" s="18"/>
      <c r="K952" s="18"/>
      <c r="L952" s="18"/>
      <c r="M952" s="18"/>
      <c r="N952" s="18"/>
      <c r="O952" s="18"/>
      <c r="P952" s="18"/>
      <c r="Q952" s="18"/>
      <c r="W952" s="18"/>
      <c r="X952" s="18"/>
      <c r="Y952" s="18"/>
    </row>
    <row r="953" spans="6:25" ht="15.75" customHeight="1">
      <c r="F953" s="18"/>
      <c r="G953" s="18"/>
      <c r="I953" s="18"/>
      <c r="J953" s="18"/>
      <c r="K953" s="18"/>
      <c r="L953" s="18"/>
      <c r="M953" s="18"/>
      <c r="N953" s="18"/>
      <c r="O953" s="18"/>
      <c r="P953" s="18"/>
      <c r="Q953" s="18"/>
      <c r="W953" s="18"/>
      <c r="X953" s="18"/>
      <c r="Y953" s="18"/>
    </row>
    <row r="954" spans="6:25" ht="15.75" customHeight="1">
      <c r="F954" s="18"/>
      <c r="G954" s="18"/>
      <c r="I954" s="18"/>
      <c r="J954" s="18"/>
      <c r="K954" s="18"/>
      <c r="L954" s="18"/>
      <c r="M954" s="18"/>
      <c r="N954" s="18"/>
      <c r="O954" s="18"/>
      <c r="P954" s="18"/>
      <c r="Q954" s="18"/>
      <c r="W954" s="18"/>
      <c r="X954" s="18"/>
      <c r="Y954" s="18"/>
    </row>
    <row r="955" spans="6:25" ht="15.75" customHeight="1">
      <c r="F955" s="18"/>
      <c r="G955" s="18"/>
      <c r="I955" s="18"/>
      <c r="J955" s="18"/>
      <c r="K955" s="18"/>
      <c r="L955" s="18"/>
      <c r="M955" s="18"/>
      <c r="N955" s="18"/>
      <c r="O955" s="18"/>
      <c r="P955" s="18"/>
      <c r="Q955" s="18"/>
      <c r="W955" s="18"/>
      <c r="X955" s="18"/>
      <c r="Y955" s="18"/>
    </row>
    <row r="956" spans="6:25" ht="15.75" customHeight="1">
      <c r="F956" s="18"/>
      <c r="G956" s="18"/>
      <c r="I956" s="18"/>
      <c r="J956" s="18"/>
      <c r="K956" s="18"/>
      <c r="L956" s="18"/>
      <c r="M956" s="18"/>
      <c r="N956" s="18"/>
      <c r="O956" s="18"/>
      <c r="P956" s="18"/>
      <c r="Q956" s="18"/>
      <c r="W956" s="18"/>
      <c r="X956" s="18"/>
      <c r="Y956" s="18"/>
    </row>
    <row r="957" spans="6:25" ht="15.75" customHeight="1">
      <c r="F957" s="18"/>
      <c r="G957" s="18"/>
      <c r="I957" s="18"/>
      <c r="J957" s="18"/>
      <c r="K957" s="18"/>
      <c r="L957" s="18"/>
      <c r="M957" s="18"/>
      <c r="N957" s="18"/>
      <c r="O957" s="18"/>
      <c r="P957" s="18"/>
      <c r="Q957" s="18"/>
      <c r="W957" s="18"/>
      <c r="X957" s="18"/>
      <c r="Y957" s="18"/>
    </row>
    <row r="958" spans="6:25" ht="15.75" customHeight="1">
      <c r="F958" s="18"/>
      <c r="G958" s="18"/>
      <c r="I958" s="18"/>
      <c r="J958" s="18"/>
      <c r="K958" s="18"/>
      <c r="L958" s="18"/>
      <c r="M958" s="18"/>
      <c r="N958" s="18"/>
      <c r="O958" s="18"/>
      <c r="P958" s="18"/>
      <c r="Q958" s="18"/>
      <c r="W958" s="18"/>
      <c r="X958" s="18"/>
      <c r="Y958" s="18"/>
    </row>
    <row r="959" spans="6:25" ht="15.75" customHeight="1">
      <c r="F959" s="18"/>
      <c r="G959" s="18"/>
      <c r="I959" s="18"/>
      <c r="J959" s="18"/>
      <c r="K959" s="18"/>
      <c r="L959" s="18"/>
      <c r="M959" s="18"/>
      <c r="N959" s="18"/>
      <c r="O959" s="18"/>
      <c r="P959" s="18"/>
      <c r="Q959" s="18"/>
      <c r="W959" s="18"/>
      <c r="X959" s="18"/>
      <c r="Y959" s="18"/>
    </row>
    <row r="960" spans="6:25" ht="15.75" customHeight="1">
      <c r="F960" s="18"/>
      <c r="G960" s="18"/>
      <c r="I960" s="18"/>
      <c r="J960" s="18"/>
      <c r="K960" s="18"/>
      <c r="L960" s="18"/>
      <c r="M960" s="18"/>
      <c r="N960" s="18"/>
      <c r="O960" s="18"/>
      <c r="P960" s="18"/>
      <c r="Q960" s="18"/>
      <c r="W960" s="18"/>
      <c r="X960" s="18"/>
      <c r="Y960" s="18"/>
    </row>
    <row r="961" spans="6:25" ht="15.75" customHeight="1">
      <c r="F961" s="18"/>
      <c r="G961" s="18"/>
      <c r="I961" s="18"/>
      <c r="J961" s="18"/>
      <c r="K961" s="18"/>
      <c r="L961" s="18"/>
      <c r="M961" s="18"/>
      <c r="N961" s="18"/>
      <c r="O961" s="18"/>
      <c r="P961" s="18"/>
      <c r="Q961" s="18"/>
      <c r="W961" s="18"/>
      <c r="X961" s="18"/>
      <c r="Y961" s="18"/>
    </row>
    <row r="962" spans="6:25" ht="15.75" customHeight="1">
      <c r="F962" s="18"/>
      <c r="G962" s="18"/>
      <c r="I962" s="18"/>
      <c r="J962" s="18"/>
      <c r="K962" s="18"/>
      <c r="L962" s="18"/>
      <c r="M962" s="18"/>
      <c r="N962" s="18"/>
      <c r="O962" s="18"/>
      <c r="P962" s="18"/>
      <c r="Q962" s="18"/>
      <c r="W962" s="18"/>
      <c r="X962" s="18"/>
      <c r="Y962" s="18"/>
    </row>
    <row r="963" spans="6:25" ht="15.75" customHeight="1">
      <c r="F963" s="18"/>
      <c r="G963" s="18"/>
      <c r="I963" s="18"/>
      <c r="J963" s="18"/>
      <c r="K963" s="18"/>
      <c r="L963" s="18"/>
      <c r="M963" s="18"/>
      <c r="N963" s="18"/>
      <c r="O963" s="18"/>
      <c r="P963" s="18"/>
      <c r="Q963" s="18"/>
      <c r="W963" s="18"/>
      <c r="X963" s="18"/>
      <c r="Y963" s="18"/>
    </row>
    <row r="964" spans="6:25" ht="15.75" customHeight="1">
      <c r="F964" s="18"/>
      <c r="G964" s="18"/>
      <c r="I964" s="18"/>
      <c r="J964" s="18"/>
      <c r="K964" s="18"/>
      <c r="L964" s="18"/>
      <c r="M964" s="18"/>
      <c r="N964" s="18"/>
      <c r="O964" s="18"/>
      <c r="P964" s="18"/>
      <c r="Q964" s="18"/>
      <c r="W964" s="18"/>
      <c r="X964" s="18"/>
      <c r="Y964" s="18"/>
    </row>
    <row r="965" spans="6:25" ht="15.75" customHeight="1">
      <c r="F965" s="18"/>
      <c r="G965" s="18"/>
      <c r="I965" s="18"/>
      <c r="J965" s="18"/>
      <c r="K965" s="18"/>
      <c r="L965" s="18"/>
      <c r="M965" s="18"/>
      <c r="N965" s="18"/>
      <c r="O965" s="18"/>
      <c r="P965" s="18"/>
      <c r="Q965" s="18"/>
      <c r="W965" s="18"/>
      <c r="X965" s="18"/>
      <c r="Y965" s="18"/>
    </row>
    <row r="966" spans="6:25" ht="15.75" customHeight="1">
      <c r="F966" s="18"/>
      <c r="G966" s="18"/>
      <c r="I966" s="18"/>
      <c r="J966" s="18"/>
      <c r="K966" s="18"/>
      <c r="L966" s="18"/>
      <c r="M966" s="18"/>
      <c r="N966" s="18"/>
      <c r="O966" s="18"/>
      <c r="P966" s="18"/>
      <c r="Q966" s="18"/>
      <c r="W966" s="18"/>
      <c r="X966" s="18"/>
      <c r="Y966" s="18"/>
    </row>
    <row r="967" spans="6:25" ht="15.75" customHeight="1">
      <c r="F967" s="18"/>
      <c r="G967" s="18"/>
      <c r="I967" s="18"/>
      <c r="J967" s="18"/>
      <c r="K967" s="18"/>
      <c r="L967" s="18"/>
      <c r="M967" s="18"/>
      <c r="N967" s="18"/>
      <c r="O967" s="18"/>
      <c r="P967" s="18"/>
      <c r="Q967" s="18"/>
      <c r="W967" s="18"/>
      <c r="X967" s="18"/>
      <c r="Y967" s="18"/>
    </row>
    <row r="968" spans="6:25" ht="15.75" customHeight="1">
      <c r="F968" s="18"/>
      <c r="G968" s="18"/>
      <c r="I968" s="18"/>
      <c r="J968" s="18"/>
      <c r="K968" s="18"/>
      <c r="L968" s="18"/>
      <c r="M968" s="18"/>
      <c r="N968" s="18"/>
      <c r="O968" s="18"/>
      <c r="P968" s="18"/>
      <c r="Q968" s="18"/>
      <c r="W968" s="18"/>
      <c r="X968" s="18"/>
      <c r="Y968" s="18"/>
    </row>
    <row r="969" spans="6:25" ht="15.75" customHeight="1">
      <c r="F969" s="18"/>
      <c r="G969" s="18"/>
      <c r="I969" s="18"/>
      <c r="J969" s="18"/>
      <c r="K969" s="18"/>
      <c r="L969" s="18"/>
      <c r="M969" s="18"/>
      <c r="N969" s="18"/>
      <c r="O969" s="18"/>
      <c r="P969" s="18"/>
      <c r="Q969" s="18"/>
      <c r="W969" s="18"/>
      <c r="X969" s="18"/>
      <c r="Y969" s="18"/>
    </row>
    <row r="970" spans="6:25" ht="15.75" customHeight="1">
      <c r="F970" s="18"/>
      <c r="G970" s="18"/>
      <c r="I970" s="18"/>
      <c r="J970" s="18"/>
      <c r="K970" s="18"/>
      <c r="L970" s="18"/>
      <c r="M970" s="18"/>
      <c r="N970" s="18"/>
      <c r="O970" s="18"/>
      <c r="P970" s="18"/>
      <c r="Q970" s="18"/>
      <c r="W970" s="18"/>
      <c r="X970" s="18"/>
      <c r="Y970" s="18"/>
    </row>
    <row r="971" spans="6:25" ht="15.75" customHeight="1">
      <c r="F971" s="18"/>
      <c r="G971" s="18"/>
      <c r="I971" s="18"/>
      <c r="J971" s="18"/>
      <c r="K971" s="18"/>
      <c r="L971" s="18"/>
      <c r="M971" s="18"/>
      <c r="N971" s="18"/>
      <c r="O971" s="18"/>
      <c r="P971" s="18"/>
      <c r="Q971" s="18"/>
      <c r="W971" s="18"/>
      <c r="X971" s="18"/>
      <c r="Y971" s="18"/>
    </row>
    <row r="972" spans="6:25" ht="15.75" customHeight="1">
      <c r="F972" s="18"/>
      <c r="G972" s="18"/>
      <c r="I972" s="18"/>
      <c r="J972" s="18"/>
      <c r="K972" s="18"/>
      <c r="L972" s="18"/>
      <c r="M972" s="18"/>
      <c r="N972" s="18"/>
      <c r="O972" s="18"/>
      <c r="P972" s="18"/>
      <c r="Q972" s="18"/>
      <c r="W972" s="18"/>
      <c r="X972" s="18"/>
      <c r="Y972" s="18"/>
    </row>
    <row r="973" spans="6:25" ht="15.75" customHeight="1">
      <c r="F973" s="18"/>
      <c r="G973" s="18"/>
      <c r="I973" s="18"/>
      <c r="J973" s="18"/>
      <c r="K973" s="18"/>
      <c r="L973" s="18"/>
      <c r="M973" s="18"/>
      <c r="N973" s="18"/>
      <c r="O973" s="18"/>
      <c r="P973" s="18"/>
      <c r="Q973" s="18"/>
      <c r="W973" s="18"/>
      <c r="X973" s="18"/>
      <c r="Y973" s="18"/>
    </row>
    <row r="974" spans="6:25" ht="15.75" customHeight="1">
      <c r="F974" s="18"/>
      <c r="G974" s="18"/>
      <c r="I974" s="18"/>
      <c r="J974" s="18"/>
      <c r="K974" s="18"/>
      <c r="L974" s="18"/>
      <c r="M974" s="18"/>
      <c r="N974" s="18"/>
      <c r="O974" s="18"/>
      <c r="P974" s="18"/>
      <c r="Q974" s="18"/>
      <c r="W974" s="18"/>
      <c r="X974" s="18"/>
      <c r="Y974" s="18"/>
    </row>
    <row r="975" spans="6:25" ht="15.75" customHeight="1">
      <c r="F975" s="18"/>
      <c r="G975" s="18"/>
      <c r="I975" s="18"/>
      <c r="J975" s="18"/>
      <c r="K975" s="18"/>
      <c r="L975" s="18"/>
      <c r="M975" s="18"/>
      <c r="N975" s="18"/>
      <c r="O975" s="18"/>
      <c r="P975" s="18"/>
      <c r="Q975" s="18"/>
      <c r="W975" s="18"/>
      <c r="X975" s="18"/>
      <c r="Y975" s="18"/>
    </row>
    <row r="976" spans="6:25" ht="15.75" customHeight="1">
      <c r="F976" s="18"/>
      <c r="G976" s="18"/>
      <c r="I976" s="18"/>
      <c r="J976" s="18"/>
      <c r="K976" s="18"/>
      <c r="L976" s="18"/>
      <c r="M976" s="18"/>
      <c r="N976" s="18"/>
      <c r="O976" s="18"/>
      <c r="P976" s="18"/>
      <c r="Q976" s="18"/>
      <c r="W976" s="18"/>
      <c r="X976" s="18"/>
      <c r="Y976" s="18"/>
    </row>
    <row r="977" spans="6:25" ht="15.75" customHeight="1">
      <c r="F977" s="18"/>
      <c r="G977" s="18"/>
      <c r="I977" s="18"/>
      <c r="J977" s="18"/>
      <c r="K977" s="18"/>
      <c r="L977" s="18"/>
      <c r="M977" s="18"/>
      <c r="N977" s="18"/>
      <c r="O977" s="18"/>
      <c r="P977" s="18"/>
      <c r="Q977" s="18"/>
      <c r="W977" s="18"/>
      <c r="X977" s="18"/>
      <c r="Y977" s="18"/>
    </row>
    <row r="978" spans="6:25" ht="15.75" customHeight="1">
      <c r="F978" s="18"/>
      <c r="G978" s="18"/>
      <c r="I978" s="18"/>
      <c r="J978" s="18"/>
      <c r="K978" s="18"/>
      <c r="L978" s="18"/>
      <c r="M978" s="18"/>
      <c r="N978" s="18"/>
      <c r="O978" s="18"/>
      <c r="P978" s="18"/>
      <c r="Q978" s="18"/>
      <c r="W978" s="18"/>
      <c r="X978" s="18"/>
      <c r="Y978" s="18"/>
    </row>
    <row r="979" spans="6:25" ht="15.75" customHeight="1">
      <c r="F979" s="18"/>
      <c r="G979" s="18"/>
      <c r="I979" s="18"/>
      <c r="J979" s="18"/>
      <c r="K979" s="18"/>
      <c r="L979" s="18"/>
      <c r="M979" s="18"/>
      <c r="N979" s="18"/>
      <c r="O979" s="18"/>
      <c r="P979" s="18"/>
      <c r="Q979" s="18"/>
      <c r="W979" s="18"/>
      <c r="X979" s="18"/>
      <c r="Y979" s="18"/>
    </row>
    <row r="980" spans="6:25" ht="15.75" customHeight="1">
      <c r="F980" s="18"/>
      <c r="G980" s="18"/>
      <c r="I980" s="18"/>
      <c r="J980" s="18"/>
      <c r="K980" s="18"/>
      <c r="L980" s="18"/>
      <c r="M980" s="18"/>
      <c r="N980" s="18"/>
      <c r="O980" s="18"/>
      <c r="P980" s="18"/>
      <c r="Q980" s="18"/>
      <c r="W980" s="18"/>
      <c r="X980" s="18"/>
      <c r="Y980" s="18"/>
    </row>
    <row r="981" spans="6:25" ht="15.75" customHeight="1">
      <c r="F981" s="18"/>
      <c r="G981" s="18"/>
      <c r="I981" s="18"/>
      <c r="J981" s="18"/>
      <c r="K981" s="18"/>
      <c r="L981" s="18"/>
      <c r="M981" s="18"/>
      <c r="N981" s="18"/>
      <c r="O981" s="18"/>
      <c r="P981" s="18"/>
      <c r="Q981" s="18"/>
      <c r="W981" s="18"/>
      <c r="X981" s="18"/>
      <c r="Y981" s="18"/>
    </row>
    <row r="982" spans="6:25" ht="15.75" customHeight="1">
      <c r="F982" s="18"/>
      <c r="G982" s="18"/>
      <c r="I982" s="18"/>
      <c r="J982" s="18"/>
      <c r="K982" s="18"/>
      <c r="L982" s="18"/>
      <c r="M982" s="18"/>
      <c r="N982" s="18"/>
      <c r="O982" s="18"/>
      <c r="P982" s="18"/>
      <c r="Q982" s="18"/>
      <c r="W982" s="18"/>
      <c r="X982" s="18"/>
      <c r="Y982" s="18"/>
    </row>
    <row r="983" spans="6:25" ht="15.75" customHeight="1">
      <c r="F983" s="18"/>
      <c r="G983" s="18"/>
      <c r="I983" s="18"/>
      <c r="J983" s="18"/>
      <c r="K983" s="18"/>
      <c r="L983" s="18"/>
      <c r="M983" s="18"/>
      <c r="N983" s="18"/>
      <c r="O983" s="18"/>
      <c r="P983" s="18"/>
      <c r="Q983" s="18"/>
      <c r="W983" s="18"/>
      <c r="X983" s="18"/>
      <c r="Y983" s="18"/>
    </row>
    <row r="984" spans="6:25" ht="15.75" customHeight="1">
      <c r="F984" s="18"/>
      <c r="G984" s="18"/>
      <c r="I984" s="18"/>
      <c r="J984" s="18"/>
      <c r="K984" s="18"/>
      <c r="L984" s="18"/>
      <c r="M984" s="18"/>
      <c r="N984" s="18"/>
      <c r="O984" s="18"/>
      <c r="P984" s="18"/>
      <c r="Q984" s="18"/>
      <c r="W984" s="18"/>
      <c r="X984" s="18"/>
      <c r="Y984" s="18"/>
    </row>
    <row r="985" spans="6:25" ht="15.75" customHeight="1">
      <c r="F985" s="18"/>
      <c r="G985" s="18"/>
      <c r="I985" s="18"/>
      <c r="J985" s="18"/>
      <c r="K985" s="18"/>
      <c r="L985" s="18"/>
      <c r="M985" s="18"/>
      <c r="N985" s="18"/>
      <c r="O985" s="18"/>
      <c r="P985" s="18"/>
      <c r="Q985" s="18"/>
      <c r="W985" s="18"/>
      <c r="X985" s="18"/>
      <c r="Y985" s="18"/>
    </row>
    <row r="986" spans="6:25" ht="15.75" customHeight="1">
      <c r="F986" s="18"/>
      <c r="G986" s="18"/>
      <c r="I986" s="18"/>
      <c r="J986" s="18"/>
      <c r="K986" s="18"/>
      <c r="L986" s="18"/>
      <c r="M986" s="18"/>
      <c r="N986" s="18"/>
      <c r="O986" s="18"/>
      <c r="P986" s="18"/>
      <c r="Q986" s="18"/>
      <c r="W986" s="18"/>
      <c r="X986" s="18"/>
      <c r="Y986" s="18"/>
    </row>
    <row r="987" spans="6:25" ht="15.75" customHeight="1">
      <c r="F987" s="18"/>
      <c r="G987" s="18"/>
      <c r="I987" s="18"/>
      <c r="J987" s="18"/>
      <c r="K987" s="18"/>
      <c r="L987" s="18"/>
      <c r="M987" s="18"/>
      <c r="N987" s="18"/>
      <c r="O987" s="18"/>
      <c r="P987" s="18"/>
      <c r="Q987" s="18"/>
      <c r="W987" s="18"/>
      <c r="X987" s="18"/>
      <c r="Y987" s="18"/>
    </row>
    <row r="988" spans="6:25" ht="15.75" customHeight="1">
      <c r="F988" s="18"/>
      <c r="G988" s="18"/>
      <c r="I988" s="18"/>
      <c r="J988" s="18"/>
      <c r="K988" s="18"/>
      <c r="L988" s="18"/>
      <c r="M988" s="18"/>
      <c r="N988" s="18"/>
      <c r="O988" s="18"/>
      <c r="P988" s="18"/>
      <c r="Q988" s="18"/>
      <c r="W988" s="18"/>
      <c r="X988" s="18"/>
      <c r="Y988" s="18"/>
    </row>
    <row r="989" spans="6:25" ht="15.75" customHeight="1">
      <c r="F989" s="18"/>
      <c r="G989" s="18"/>
      <c r="I989" s="18"/>
      <c r="J989" s="18"/>
      <c r="K989" s="18"/>
      <c r="L989" s="18"/>
      <c r="M989" s="18"/>
      <c r="N989" s="18"/>
      <c r="O989" s="18"/>
      <c r="P989" s="18"/>
      <c r="Q989" s="18"/>
      <c r="W989" s="18"/>
      <c r="X989" s="18"/>
      <c r="Y989" s="18"/>
    </row>
    <row r="990" spans="6:25" ht="15.75" customHeight="1">
      <c r="F990" s="18"/>
      <c r="G990" s="18"/>
      <c r="I990" s="18"/>
      <c r="J990" s="18"/>
      <c r="K990" s="18"/>
      <c r="L990" s="18"/>
      <c r="M990" s="18"/>
      <c r="N990" s="18"/>
      <c r="O990" s="18"/>
      <c r="P990" s="18"/>
      <c r="Q990" s="18"/>
      <c r="W990" s="18"/>
      <c r="X990" s="18"/>
      <c r="Y990" s="18"/>
    </row>
    <row r="991" spans="6:25" ht="15.75" customHeight="1">
      <c r="F991" s="18"/>
      <c r="G991" s="18"/>
      <c r="I991" s="18"/>
      <c r="J991" s="18"/>
      <c r="K991" s="18"/>
      <c r="L991" s="18"/>
      <c r="M991" s="18"/>
      <c r="N991" s="18"/>
      <c r="O991" s="18"/>
      <c r="P991" s="18"/>
      <c r="Q991" s="18"/>
      <c r="W991" s="18"/>
      <c r="X991" s="18"/>
      <c r="Y991" s="18"/>
    </row>
    <row r="992" spans="6:25" ht="15.75" customHeight="1">
      <c r="F992" s="18"/>
      <c r="G992" s="18"/>
      <c r="I992" s="18"/>
      <c r="J992" s="18"/>
      <c r="K992" s="18"/>
      <c r="L992" s="18"/>
      <c r="M992" s="18"/>
      <c r="N992" s="18"/>
      <c r="O992" s="18"/>
      <c r="P992" s="18"/>
      <c r="Q992" s="18"/>
      <c r="W992" s="18"/>
      <c r="X992" s="18"/>
      <c r="Y992" s="18"/>
    </row>
    <row r="993" spans="6:25" ht="15.75" customHeight="1">
      <c r="F993" s="18"/>
      <c r="G993" s="18"/>
      <c r="I993" s="18"/>
      <c r="J993" s="18"/>
      <c r="K993" s="18"/>
      <c r="L993" s="18"/>
      <c r="M993" s="18"/>
      <c r="N993" s="18"/>
      <c r="O993" s="18"/>
      <c r="P993" s="18"/>
      <c r="Q993" s="18"/>
      <c r="W993" s="18"/>
      <c r="X993" s="18"/>
      <c r="Y993" s="18"/>
    </row>
    <row r="994" spans="6:25" ht="15.75" customHeight="1">
      <c r="F994" s="18"/>
      <c r="G994" s="18"/>
      <c r="I994" s="18"/>
      <c r="J994" s="18"/>
      <c r="K994" s="18"/>
      <c r="L994" s="18"/>
      <c r="M994" s="18"/>
      <c r="N994" s="18"/>
      <c r="O994" s="18"/>
      <c r="P994" s="18"/>
      <c r="Q994" s="18"/>
      <c r="W994" s="18"/>
      <c r="X994" s="18"/>
      <c r="Y994" s="18"/>
    </row>
    <row r="995" spans="6:25" ht="15.75" customHeight="1">
      <c r="F995" s="18"/>
      <c r="G995" s="18"/>
      <c r="I995" s="18"/>
      <c r="J995" s="18"/>
      <c r="K995" s="18"/>
      <c r="L995" s="18"/>
      <c r="M995" s="18"/>
      <c r="N995" s="18"/>
      <c r="O995" s="18"/>
      <c r="P995" s="18"/>
      <c r="Q995" s="18"/>
      <c r="W995" s="18"/>
      <c r="X995" s="18"/>
      <c r="Y995" s="18"/>
    </row>
    <row r="996" spans="6:25" ht="15.75" customHeight="1">
      <c r="F996" s="18"/>
      <c r="G996" s="18"/>
      <c r="I996" s="18"/>
      <c r="J996" s="18"/>
      <c r="K996" s="18"/>
      <c r="L996" s="18"/>
      <c r="M996" s="18"/>
      <c r="N996" s="18"/>
      <c r="O996" s="18"/>
      <c r="P996" s="18"/>
      <c r="Q996" s="18"/>
      <c r="W996" s="18"/>
      <c r="X996" s="18"/>
      <c r="Y996" s="18"/>
    </row>
    <row r="997" spans="6:25" ht="15.75" customHeight="1">
      <c r="F997" s="18"/>
      <c r="G997" s="18"/>
      <c r="I997" s="18"/>
      <c r="J997" s="18"/>
      <c r="K997" s="18"/>
      <c r="L997" s="18"/>
      <c r="M997" s="18"/>
      <c r="N997" s="18"/>
      <c r="O997" s="18"/>
      <c r="P997" s="18"/>
      <c r="Q997" s="18"/>
      <c r="W997" s="18"/>
      <c r="X997" s="18"/>
      <c r="Y997" s="18"/>
    </row>
    <row r="998" spans="6:25" ht="15.75" customHeight="1">
      <c r="F998" s="18"/>
      <c r="G998" s="18"/>
      <c r="I998" s="18"/>
      <c r="J998" s="18"/>
      <c r="K998" s="18"/>
      <c r="L998" s="18"/>
      <c r="M998" s="18"/>
      <c r="N998" s="18"/>
      <c r="O998" s="18"/>
      <c r="P998" s="18"/>
      <c r="Q998" s="18"/>
      <c r="W998" s="18"/>
      <c r="X998" s="18"/>
      <c r="Y998" s="18"/>
    </row>
    <row r="999" spans="6:25" ht="15.75" customHeight="1">
      <c r="F999" s="18"/>
      <c r="G999" s="18"/>
      <c r="I999" s="18"/>
      <c r="J999" s="18"/>
      <c r="K999" s="18"/>
      <c r="L999" s="18"/>
      <c r="M999" s="18"/>
      <c r="N999" s="18"/>
      <c r="O999" s="18"/>
      <c r="P999" s="18"/>
      <c r="Q999" s="18"/>
      <c r="W999" s="18"/>
      <c r="X999" s="18"/>
      <c r="Y999" s="18"/>
    </row>
    <row r="1000" spans="6:25" ht="15.75" customHeight="1">
      <c r="F1000" s="18"/>
      <c r="G1000" s="18"/>
      <c r="I1000" s="18"/>
      <c r="J1000" s="18"/>
      <c r="K1000" s="18"/>
      <c r="L1000" s="18"/>
      <c r="M1000" s="18"/>
      <c r="N1000" s="18"/>
      <c r="O1000" s="18"/>
      <c r="P1000" s="18"/>
      <c r="Q1000" s="18"/>
      <c r="W1000" s="18"/>
      <c r="X1000" s="18"/>
      <c r="Y1000" s="18"/>
    </row>
  </sheetData>
  <mergeCells count="24">
    <mergeCell ref="B97:C97"/>
    <mergeCell ref="B98:C98"/>
    <mergeCell ref="D97:H97"/>
    <mergeCell ref="D98:H98"/>
    <mergeCell ref="E2:R2"/>
    <mergeCell ref="B4:C4"/>
    <mergeCell ref="B5:C5"/>
    <mergeCell ref="B6:C6"/>
    <mergeCell ref="D4:R4"/>
    <mergeCell ref="D5:R5"/>
    <mergeCell ref="D6:R6"/>
    <mergeCell ref="B91:C91"/>
    <mergeCell ref="B92:C92"/>
    <mergeCell ref="B93:C93"/>
    <mergeCell ref="B94:C94"/>
    <mergeCell ref="B95:C95"/>
    <mergeCell ref="Z8:AD8"/>
    <mergeCell ref="B8:B9"/>
    <mergeCell ref="C8:C9"/>
    <mergeCell ref="D8:G8"/>
    <mergeCell ref="R8:T8"/>
    <mergeCell ref="K8:Q8"/>
    <mergeCell ref="H8:J8"/>
    <mergeCell ref="U8:Y8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000"/>
  <sheetViews>
    <sheetView topLeftCell="A94" workbookViewId="0">
      <selection activeCell="L39" sqref="L39"/>
    </sheetView>
  </sheetViews>
  <sheetFormatPr defaultColWidth="14.44140625" defaultRowHeight="15" customHeight="1"/>
  <cols>
    <col min="1" max="2" width="8" customWidth="1"/>
    <col min="3" max="3" width="23.44140625" customWidth="1"/>
    <col min="4" max="4" width="43" customWidth="1"/>
    <col min="5" max="5" width="11.33203125" customWidth="1"/>
    <col min="6" max="7" width="10.6640625" customWidth="1"/>
    <col min="8" max="8" width="11.33203125" customWidth="1"/>
    <col min="9" max="9" width="11.44140625" style="70" customWidth="1"/>
    <col min="10" max="10" width="12.5546875" style="70" customWidth="1"/>
    <col min="11" max="18" width="8" customWidth="1"/>
  </cols>
  <sheetData>
    <row r="1" spans="1:24" ht="14.4">
      <c r="E1" s="53"/>
      <c r="F1" s="53"/>
      <c r="G1" s="53"/>
      <c r="H1" s="53"/>
    </row>
    <row r="2" spans="1:24" ht="21" customHeight="1">
      <c r="C2" s="240" t="s">
        <v>132</v>
      </c>
      <c r="D2" s="170"/>
      <c r="E2" s="170"/>
      <c r="F2" s="170"/>
      <c r="G2" s="170"/>
      <c r="H2" s="53"/>
    </row>
    <row r="3" spans="1:24" ht="15.75" customHeight="1">
      <c r="E3" s="53"/>
      <c r="F3" s="53"/>
      <c r="G3" s="53"/>
      <c r="H3" s="53"/>
    </row>
    <row r="4" spans="1:24" ht="24.75" customHeight="1">
      <c r="A4" s="28"/>
      <c r="B4" s="54"/>
      <c r="C4" s="55" t="s">
        <v>1</v>
      </c>
      <c r="D4" s="184" t="s">
        <v>263</v>
      </c>
      <c r="E4" s="167"/>
      <c r="F4" s="183" t="s">
        <v>2</v>
      </c>
      <c r="G4" s="167"/>
      <c r="H4" s="56" t="s">
        <v>133</v>
      </c>
      <c r="I4" s="1"/>
      <c r="J4" s="1"/>
      <c r="K4" s="28"/>
      <c r="L4" s="28"/>
      <c r="M4" s="28"/>
      <c r="N4" s="28"/>
      <c r="O4" s="28"/>
      <c r="P4" s="28"/>
      <c r="Q4" s="28"/>
      <c r="R4" s="28"/>
    </row>
    <row r="5" spans="1:24" ht="24.75" customHeight="1">
      <c r="A5" s="28"/>
      <c r="B5" s="57"/>
      <c r="C5" s="55" t="s">
        <v>3</v>
      </c>
      <c r="D5" s="187" t="s">
        <v>149</v>
      </c>
      <c r="E5" s="167"/>
      <c r="F5" s="183" t="s">
        <v>4</v>
      </c>
      <c r="G5" s="167"/>
      <c r="H5" s="58" t="s">
        <v>148</v>
      </c>
      <c r="I5" s="1"/>
      <c r="J5" s="1"/>
      <c r="K5" s="28"/>
      <c r="L5" s="28"/>
      <c r="M5" s="28"/>
      <c r="N5" s="28"/>
      <c r="O5" s="28"/>
      <c r="P5" s="28"/>
      <c r="Q5" s="28"/>
      <c r="R5" s="28"/>
    </row>
    <row r="6" spans="1:24" ht="24.75" customHeight="1">
      <c r="A6" s="28"/>
      <c r="B6" s="57"/>
      <c r="C6" s="55" t="s">
        <v>5</v>
      </c>
      <c r="D6" s="237" t="s">
        <v>6</v>
      </c>
      <c r="E6" s="167"/>
      <c r="F6" s="183" t="s">
        <v>7</v>
      </c>
      <c r="G6" s="167"/>
      <c r="H6" s="56" t="s">
        <v>8</v>
      </c>
      <c r="I6" s="1"/>
      <c r="J6" s="1"/>
      <c r="K6" s="28"/>
      <c r="L6" s="28"/>
      <c r="M6" s="28"/>
      <c r="N6" s="28"/>
      <c r="O6" s="28"/>
      <c r="P6" s="28"/>
      <c r="Q6" s="28"/>
      <c r="R6" s="28"/>
    </row>
    <row r="7" spans="1:24" ht="18.75" customHeight="1">
      <c r="B7" s="5"/>
      <c r="D7" s="2"/>
      <c r="E7" s="17"/>
      <c r="F7" s="17"/>
      <c r="G7" s="53"/>
      <c r="H7" s="53"/>
    </row>
    <row r="8" spans="1:24" ht="22.5" customHeight="1">
      <c r="B8" s="5"/>
      <c r="C8" s="240" t="s">
        <v>134</v>
      </c>
      <c r="D8" s="170"/>
      <c r="E8" s="170"/>
      <c r="F8" s="170"/>
      <c r="G8" s="170"/>
      <c r="H8" s="53"/>
    </row>
    <row r="9" spans="1:24" ht="14.4">
      <c r="E9" s="53"/>
      <c r="F9" s="53"/>
      <c r="G9" s="53"/>
      <c r="H9" s="53"/>
    </row>
    <row r="10" spans="1:24" ht="19.5" customHeight="1">
      <c r="B10" s="231" t="s">
        <v>135</v>
      </c>
      <c r="C10" s="231" t="s">
        <v>112</v>
      </c>
      <c r="D10" s="233" t="s">
        <v>136</v>
      </c>
      <c r="E10" s="59"/>
      <c r="F10" s="49"/>
      <c r="G10" s="49"/>
      <c r="H10" s="67"/>
      <c r="I10" s="71"/>
      <c r="J10" s="71"/>
    </row>
    <row r="11" spans="1:24" ht="19.5" customHeight="1">
      <c r="B11" s="232"/>
      <c r="C11" s="232"/>
      <c r="D11" s="234"/>
      <c r="E11" s="60" t="s">
        <v>137</v>
      </c>
      <c r="F11" s="60" t="s">
        <v>138</v>
      </c>
      <c r="G11" s="60" t="s">
        <v>139</v>
      </c>
      <c r="H11" s="68" t="s">
        <v>140</v>
      </c>
      <c r="I11" s="68" t="s">
        <v>145</v>
      </c>
      <c r="J11" s="69" t="s">
        <v>146</v>
      </c>
    </row>
    <row r="12" spans="1:24" ht="19.5" customHeight="1">
      <c r="B12" s="176"/>
      <c r="C12" s="176"/>
      <c r="D12" s="180"/>
      <c r="E12" s="83" t="s">
        <v>113</v>
      </c>
      <c r="F12" s="83" t="s">
        <v>114</v>
      </c>
      <c r="G12" s="83" t="s">
        <v>115</v>
      </c>
      <c r="H12" s="81" t="s">
        <v>116</v>
      </c>
      <c r="I12" s="84" t="s">
        <v>117</v>
      </c>
      <c r="J12" s="84" t="s">
        <v>118</v>
      </c>
    </row>
    <row r="13" spans="1:24" ht="18" customHeight="1">
      <c r="A13" s="61"/>
      <c r="B13" s="62">
        <v>1</v>
      </c>
      <c r="C13" s="125" t="s">
        <v>15</v>
      </c>
      <c r="D13" s="148" t="s">
        <v>175</v>
      </c>
      <c r="E13" s="158">
        <v>3</v>
      </c>
      <c r="F13" s="158">
        <v>3</v>
      </c>
      <c r="G13" s="158">
        <v>3</v>
      </c>
      <c r="H13" s="158">
        <v>3</v>
      </c>
      <c r="I13" s="158">
        <v>3</v>
      </c>
      <c r="J13" s="158">
        <v>3</v>
      </c>
      <c r="K13" s="61"/>
      <c r="L13" s="61"/>
      <c r="M13" s="61"/>
      <c r="N13" s="61"/>
      <c r="O13" s="61"/>
      <c r="P13" s="61"/>
      <c r="Q13" s="61"/>
      <c r="R13" s="61"/>
    </row>
    <row r="14" spans="1:24" ht="18" customHeight="1">
      <c r="A14" s="61"/>
      <c r="B14" s="63">
        <v>2</v>
      </c>
      <c r="C14" s="125" t="s">
        <v>16</v>
      </c>
      <c r="D14" s="148" t="s">
        <v>176</v>
      </c>
      <c r="E14" s="158">
        <v>3</v>
      </c>
      <c r="F14" s="158">
        <v>3</v>
      </c>
      <c r="G14" s="158">
        <v>3</v>
      </c>
      <c r="H14" s="158">
        <v>3</v>
      </c>
      <c r="I14" s="158">
        <v>3</v>
      </c>
      <c r="J14" s="158">
        <v>3</v>
      </c>
      <c r="K14" s="61"/>
      <c r="L14" s="61"/>
      <c r="M14" s="61"/>
      <c r="N14" s="61"/>
      <c r="O14" s="61"/>
      <c r="P14" s="61"/>
      <c r="Q14" s="61"/>
      <c r="R14" s="61"/>
    </row>
    <row r="15" spans="1:24" ht="18" customHeight="1">
      <c r="A15" s="61"/>
      <c r="B15" s="62">
        <v>3</v>
      </c>
      <c r="C15" s="125" t="s">
        <v>17</v>
      </c>
      <c r="D15" s="148" t="s">
        <v>177</v>
      </c>
      <c r="E15" s="158">
        <v>3</v>
      </c>
      <c r="F15" s="158">
        <v>3</v>
      </c>
      <c r="G15" s="158">
        <v>3</v>
      </c>
      <c r="H15" s="158">
        <v>3</v>
      </c>
      <c r="I15" s="158">
        <v>3</v>
      </c>
      <c r="J15" s="158">
        <v>3</v>
      </c>
      <c r="K15" s="61"/>
      <c r="L15" s="61"/>
      <c r="M15" s="61"/>
      <c r="N15" s="61"/>
      <c r="O15" s="61"/>
      <c r="P15" s="61"/>
      <c r="Q15" s="61"/>
      <c r="R15" s="61"/>
      <c r="S15" s="18"/>
      <c r="T15" s="18"/>
      <c r="U15" s="18"/>
      <c r="V15" s="18"/>
      <c r="W15" s="18"/>
      <c r="X15" s="18"/>
    </row>
    <row r="16" spans="1:24" ht="18" customHeight="1">
      <c r="A16" s="61"/>
      <c r="B16" s="63">
        <v>4</v>
      </c>
      <c r="C16" s="125" t="s">
        <v>18</v>
      </c>
      <c r="D16" s="148" t="s">
        <v>178</v>
      </c>
      <c r="E16" s="158">
        <v>3</v>
      </c>
      <c r="F16" s="158">
        <v>3</v>
      </c>
      <c r="G16" s="158">
        <v>3</v>
      </c>
      <c r="H16" s="158">
        <v>3</v>
      </c>
      <c r="I16" s="158">
        <v>3</v>
      </c>
      <c r="J16" s="158">
        <v>3</v>
      </c>
      <c r="K16" s="61"/>
      <c r="L16" s="61"/>
      <c r="M16" s="61"/>
      <c r="N16" s="61"/>
      <c r="O16" s="61"/>
      <c r="P16" s="61"/>
      <c r="Q16" s="61"/>
      <c r="R16" s="61"/>
      <c r="S16" s="18"/>
      <c r="T16" s="18"/>
      <c r="U16" s="18"/>
      <c r="V16" s="18"/>
      <c r="W16" s="18"/>
      <c r="X16" s="18"/>
    </row>
    <row r="17" spans="1:24" ht="18" customHeight="1">
      <c r="A17" s="61"/>
      <c r="B17" s="62">
        <v>5</v>
      </c>
      <c r="C17" s="125" t="s">
        <v>19</v>
      </c>
      <c r="D17" s="148" t="s">
        <v>179</v>
      </c>
      <c r="E17" s="158">
        <v>3</v>
      </c>
      <c r="F17" s="158">
        <v>3</v>
      </c>
      <c r="G17" s="158">
        <v>3</v>
      </c>
      <c r="H17" s="158">
        <v>3</v>
      </c>
      <c r="I17" s="158">
        <v>3</v>
      </c>
      <c r="J17" s="158">
        <v>3</v>
      </c>
      <c r="K17" s="61"/>
      <c r="L17" s="61"/>
      <c r="M17" s="61"/>
      <c r="N17" s="61"/>
      <c r="O17" s="61"/>
      <c r="P17" s="61"/>
      <c r="Q17" s="61"/>
      <c r="R17" s="61"/>
      <c r="S17" s="18"/>
      <c r="T17" s="18"/>
      <c r="U17" s="18"/>
      <c r="V17" s="18"/>
      <c r="W17" s="18"/>
      <c r="X17" s="18"/>
    </row>
    <row r="18" spans="1:24" ht="18" customHeight="1">
      <c r="A18" s="61"/>
      <c r="B18" s="63">
        <v>6</v>
      </c>
      <c r="C18" s="125" t="s">
        <v>20</v>
      </c>
      <c r="D18" s="148" t="s">
        <v>180</v>
      </c>
      <c r="E18" s="158">
        <v>3</v>
      </c>
      <c r="F18" s="158">
        <v>3</v>
      </c>
      <c r="G18" s="158">
        <v>3</v>
      </c>
      <c r="H18" s="158">
        <v>3</v>
      </c>
      <c r="I18" s="158">
        <v>3</v>
      </c>
      <c r="J18" s="158">
        <v>3</v>
      </c>
      <c r="K18" s="61"/>
      <c r="L18" s="61"/>
      <c r="M18" s="61"/>
      <c r="N18" s="61"/>
      <c r="O18" s="61"/>
      <c r="P18" s="61"/>
      <c r="Q18" s="61"/>
      <c r="R18" s="61"/>
      <c r="S18" s="18"/>
      <c r="T18" s="18"/>
      <c r="U18" s="18"/>
      <c r="V18" s="18"/>
      <c r="W18" s="18"/>
      <c r="X18" s="18"/>
    </row>
    <row r="19" spans="1:24" ht="18" customHeight="1">
      <c r="A19" s="61"/>
      <c r="B19" s="62">
        <v>7</v>
      </c>
      <c r="C19" s="125" t="s">
        <v>22</v>
      </c>
      <c r="D19" s="148" t="s">
        <v>181</v>
      </c>
      <c r="E19" s="158">
        <v>3</v>
      </c>
      <c r="F19" s="158">
        <v>3</v>
      </c>
      <c r="G19" s="158">
        <v>3</v>
      </c>
      <c r="H19" s="158">
        <v>3</v>
      </c>
      <c r="I19" s="158">
        <v>3</v>
      </c>
      <c r="J19" s="158">
        <v>3</v>
      </c>
      <c r="K19" s="61"/>
      <c r="L19" s="61"/>
      <c r="M19" s="61"/>
      <c r="N19" s="61"/>
      <c r="O19" s="61"/>
      <c r="P19" s="61"/>
      <c r="Q19" s="61"/>
      <c r="R19" s="61"/>
      <c r="S19" s="18"/>
      <c r="T19" s="18"/>
      <c r="U19" s="18"/>
      <c r="V19" s="18"/>
      <c r="W19" s="18"/>
      <c r="X19" s="18"/>
    </row>
    <row r="20" spans="1:24" ht="18" customHeight="1">
      <c r="A20" s="61"/>
      <c r="B20" s="63">
        <v>8</v>
      </c>
      <c r="C20" s="125" t="s">
        <v>23</v>
      </c>
      <c r="D20" s="149" t="s">
        <v>21</v>
      </c>
      <c r="E20" s="158"/>
      <c r="F20" s="158"/>
      <c r="G20" s="158"/>
      <c r="H20" s="158"/>
      <c r="I20" s="158"/>
      <c r="J20" s="158"/>
      <c r="K20" s="61"/>
      <c r="L20" s="61"/>
      <c r="M20" s="61"/>
      <c r="N20" s="61"/>
      <c r="O20" s="61"/>
      <c r="P20" s="61"/>
      <c r="Q20" s="61"/>
      <c r="R20" s="61"/>
      <c r="S20" s="18"/>
      <c r="T20" s="18"/>
      <c r="U20" s="18"/>
      <c r="V20" s="18"/>
      <c r="W20" s="18"/>
      <c r="X20" s="18"/>
    </row>
    <row r="21" spans="1:24" ht="18" customHeight="1">
      <c r="A21" s="61"/>
      <c r="B21" s="62">
        <v>9</v>
      </c>
      <c r="C21" s="125" t="s">
        <v>24</v>
      </c>
      <c r="D21" s="149" t="s">
        <v>182</v>
      </c>
      <c r="E21" s="158">
        <v>2</v>
      </c>
      <c r="F21" s="158">
        <v>2</v>
      </c>
      <c r="G21" s="158">
        <v>2</v>
      </c>
      <c r="H21" s="158">
        <v>2</v>
      </c>
      <c r="I21" s="158">
        <v>2</v>
      </c>
      <c r="J21" s="158">
        <v>2</v>
      </c>
      <c r="K21" s="61"/>
      <c r="L21" s="61"/>
      <c r="M21" s="61"/>
      <c r="N21" s="61"/>
      <c r="O21" s="61"/>
      <c r="P21" s="61"/>
      <c r="Q21" s="61"/>
      <c r="R21" s="61"/>
      <c r="S21" s="18"/>
      <c r="T21" s="18"/>
      <c r="U21" s="18"/>
      <c r="V21" s="18"/>
      <c r="W21" s="18"/>
      <c r="X21" s="18"/>
    </row>
    <row r="22" spans="1:24" ht="18" customHeight="1">
      <c r="A22" s="61"/>
      <c r="B22" s="63">
        <v>10</v>
      </c>
      <c r="C22" s="125" t="s">
        <v>25</v>
      </c>
      <c r="D22" s="149" t="s">
        <v>183</v>
      </c>
      <c r="E22" s="158">
        <v>3</v>
      </c>
      <c r="F22" s="158">
        <v>3</v>
      </c>
      <c r="G22" s="158">
        <v>3</v>
      </c>
      <c r="H22" s="158">
        <v>3</v>
      </c>
      <c r="I22" s="158">
        <v>3</v>
      </c>
      <c r="J22" s="158">
        <v>3</v>
      </c>
      <c r="K22" s="61"/>
      <c r="L22" s="61"/>
      <c r="M22" s="61"/>
      <c r="N22" s="61"/>
      <c r="O22" s="61"/>
      <c r="P22" s="61"/>
      <c r="Q22" s="61"/>
      <c r="R22" s="61"/>
      <c r="S22" s="18"/>
      <c r="T22" s="18"/>
      <c r="U22" s="18"/>
      <c r="V22" s="18"/>
      <c r="W22" s="18"/>
      <c r="X22" s="18"/>
    </row>
    <row r="23" spans="1:24" ht="18" customHeight="1">
      <c r="A23" s="61"/>
      <c r="B23" s="62">
        <v>11</v>
      </c>
      <c r="C23" s="125" t="s">
        <v>26</v>
      </c>
      <c r="D23" s="149" t="s">
        <v>184</v>
      </c>
      <c r="E23" s="158">
        <v>3</v>
      </c>
      <c r="F23" s="158">
        <v>3</v>
      </c>
      <c r="G23" s="158">
        <v>3</v>
      </c>
      <c r="H23" s="158">
        <v>3</v>
      </c>
      <c r="I23" s="158">
        <v>3</v>
      </c>
      <c r="J23" s="158">
        <v>3</v>
      </c>
      <c r="K23" s="61"/>
      <c r="L23" s="61"/>
      <c r="M23" s="61"/>
      <c r="N23" s="61"/>
      <c r="O23" s="61"/>
      <c r="P23" s="61"/>
      <c r="Q23" s="61"/>
      <c r="R23" s="61"/>
      <c r="S23" s="18"/>
      <c r="T23" s="18"/>
      <c r="U23" s="18"/>
      <c r="V23" s="18"/>
      <c r="W23" s="18"/>
      <c r="X23" s="18"/>
    </row>
    <row r="24" spans="1:24" ht="18" customHeight="1">
      <c r="A24" s="61"/>
      <c r="B24" s="63">
        <v>12</v>
      </c>
      <c r="C24" s="125" t="s">
        <v>28</v>
      </c>
      <c r="D24" s="149" t="s">
        <v>185</v>
      </c>
      <c r="E24" s="158">
        <v>2</v>
      </c>
      <c r="F24" s="158">
        <v>2</v>
      </c>
      <c r="G24" s="158">
        <v>2</v>
      </c>
      <c r="H24" s="158">
        <v>2</v>
      </c>
      <c r="I24" s="158">
        <v>2</v>
      </c>
      <c r="J24" s="158">
        <v>2</v>
      </c>
      <c r="K24" s="61"/>
      <c r="L24" s="61"/>
      <c r="M24" s="61"/>
      <c r="N24" s="61"/>
      <c r="O24" s="61"/>
      <c r="P24" s="61"/>
      <c r="Q24" s="61"/>
      <c r="R24" s="61"/>
      <c r="S24" s="18"/>
      <c r="T24" s="18"/>
      <c r="U24" s="18"/>
      <c r="V24" s="18"/>
      <c r="W24" s="18"/>
      <c r="X24" s="18"/>
    </row>
    <row r="25" spans="1:24" ht="18" customHeight="1">
      <c r="A25" s="61"/>
      <c r="B25" s="62">
        <v>13</v>
      </c>
      <c r="C25" s="125" t="s">
        <v>29</v>
      </c>
      <c r="D25" s="149" t="s">
        <v>27</v>
      </c>
      <c r="E25" s="158"/>
      <c r="F25" s="158"/>
      <c r="G25" s="158"/>
      <c r="H25" s="158"/>
      <c r="I25" s="158"/>
      <c r="J25" s="158"/>
      <c r="K25" s="61"/>
      <c r="L25" s="61"/>
      <c r="M25" s="61"/>
      <c r="N25" s="61"/>
      <c r="O25" s="61"/>
      <c r="P25" s="61"/>
      <c r="Q25" s="61"/>
      <c r="R25" s="61"/>
      <c r="S25" s="18"/>
      <c r="T25" s="18"/>
      <c r="U25" s="18"/>
      <c r="V25" s="18"/>
      <c r="W25" s="18"/>
      <c r="X25" s="18"/>
    </row>
    <row r="26" spans="1:24" ht="18" customHeight="1">
      <c r="A26" s="61"/>
      <c r="B26" s="63">
        <v>14</v>
      </c>
      <c r="C26" s="126" t="s">
        <v>30</v>
      </c>
      <c r="D26" s="150" t="s">
        <v>186</v>
      </c>
      <c r="E26" s="158">
        <v>3</v>
      </c>
      <c r="F26" s="158">
        <v>2</v>
      </c>
      <c r="G26" s="158">
        <v>2</v>
      </c>
      <c r="H26" s="158">
        <v>2</v>
      </c>
      <c r="I26" s="158">
        <v>2</v>
      </c>
      <c r="J26" s="158">
        <v>2</v>
      </c>
      <c r="K26" s="61"/>
      <c r="L26" s="61"/>
      <c r="M26" s="61"/>
      <c r="N26" s="61"/>
      <c r="O26" s="61"/>
      <c r="P26" s="61"/>
      <c r="Q26" s="61"/>
      <c r="R26" s="61"/>
      <c r="S26" s="18"/>
      <c r="T26" s="18"/>
      <c r="U26" s="18"/>
      <c r="V26" s="18"/>
      <c r="W26" s="18"/>
      <c r="X26" s="18"/>
    </row>
    <row r="27" spans="1:24" ht="18" customHeight="1">
      <c r="A27" s="61"/>
      <c r="B27" s="62">
        <v>15</v>
      </c>
      <c r="C27" s="126" t="s">
        <v>31</v>
      </c>
      <c r="D27" s="150" t="s">
        <v>187</v>
      </c>
      <c r="E27" s="158">
        <v>3</v>
      </c>
      <c r="F27" s="158">
        <v>3</v>
      </c>
      <c r="G27" s="158">
        <v>3</v>
      </c>
      <c r="H27" s="158">
        <v>3</v>
      </c>
      <c r="I27" s="158">
        <v>3</v>
      </c>
      <c r="J27" s="158">
        <v>3</v>
      </c>
      <c r="K27" s="61"/>
      <c r="L27" s="61"/>
      <c r="M27" s="61"/>
      <c r="N27" s="61"/>
      <c r="O27" s="61"/>
      <c r="P27" s="61"/>
      <c r="Q27" s="61"/>
      <c r="R27" s="61"/>
      <c r="S27" s="18"/>
      <c r="T27" s="18"/>
      <c r="U27" s="18"/>
      <c r="V27" s="18"/>
      <c r="W27" s="18"/>
      <c r="X27" s="18"/>
    </row>
    <row r="28" spans="1:24" ht="18" customHeight="1">
      <c r="A28" s="61"/>
      <c r="B28" s="63">
        <v>16</v>
      </c>
      <c r="C28" s="125" t="s">
        <v>32</v>
      </c>
      <c r="D28" s="149" t="s">
        <v>188</v>
      </c>
      <c r="E28" s="158"/>
      <c r="F28" s="158"/>
      <c r="G28" s="158"/>
      <c r="H28" s="158"/>
      <c r="I28" s="158"/>
      <c r="J28" s="158"/>
      <c r="K28" s="61"/>
      <c r="L28" s="61"/>
      <c r="M28" s="61"/>
      <c r="N28" s="61"/>
      <c r="O28" s="61"/>
      <c r="P28" s="61"/>
      <c r="Q28" s="61"/>
      <c r="R28" s="61"/>
      <c r="S28" s="18"/>
      <c r="T28" s="18"/>
      <c r="U28" s="18"/>
      <c r="V28" s="18"/>
      <c r="W28" s="18"/>
      <c r="X28" s="18"/>
    </row>
    <row r="29" spans="1:24" ht="18" customHeight="1">
      <c r="A29" s="61"/>
      <c r="B29" s="62">
        <v>17</v>
      </c>
      <c r="C29" s="125" t="s">
        <v>33</v>
      </c>
      <c r="D29" s="149" t="s">
        <v>189</v>
      </c>
      <c r="E29" s="158">
        <v>3</v>
      </c>
      <c r="F29" s="158">
        <v>3</v>
      </c>
      <c r="G29" s="158">
        <v>3</v>
      </c>
      <c r="H29" s="158">
        <v>3</v>
      </c>
      <c r="I29" s="158">
        <v>3</v>
      </c>
      <c r="J29" s="158">
        <v>3</v>
      </c>
      <c r="K29" s="61"/>
      <c r="L29" s="61"/>
      <c r="M29" s="61"/>
      <c r="N29" s="61"/>
      <c r="O29" s="61"/>
      <c r="P29" s="61"/>
      <c r="Q29" s="61"/>
      <c r="R29" s="61"/>
      <c r="S29" s="18"/>
      <c r="T29" s="18"/>
      <c r="U29" s="18"/>
      <c r="V29" s="18"/>
      <c r="W29" s="18"/>
      <c r="X29" s="18"/>
    </row>
    <row r="30" spans="1:24" ht="18" customHeight="1">
      <c r="A30" s="61"/>
      <c r="B30" s="63">
        <v>18</v>
      </c>
      <c r="C30" s="125" t="s">
        <v>34</v>
      </c>
      <c r="D30" s="149" t="s">
        <v>190</v>
      </c>
      <c r="E30" s="158">
        <v>3</v>
      </c>
      <c r="F30" s="158">
        <v>3</v>
      </c>
      <c r="G30" s="158">
        <v>3</v>
      </c>
      <c r="H30" s="158">
        <v>3</v>
      </c>
      <c r="I30" s="158">
        <v>3</v>
      </c>
      <c r="J30" s="158">
        <v>3</v>
      </c>
      <c r="K30" s="61"/>
      <c r="L30" s="61"/>
      <c r="M30" s="61"/>
      <c r="N30" s="61"/>
      <c r="O30" s="61"/>
      <c r="P30" s="61"/>
      <c r="Q30" s="61"/>
      <c r="R30" s="61"/>
      <c r="S30" s="18"/>
      <c r="T30" s="18"/>
      <c r="U30" s="18"/>
      <c r="V30" s="18"/>
      <c r="W30" s="18"/>
      <c r="X30" s="18"/>
    </row>
    <row r="31" spans="1:24" ht="18" customHeight="1">
      <c r="A31" s="61"/>
      <c r="B31" s="62">
        <v>19</v>
      </c>
      <c r="C31" s="125" t="s">
        <v>35</v>
      </c>
      <c r="D31" s="149" t="s">
        <v>191</v>
      </c>
      <c r="E31" s="158"/>
      <c r="F31" s="158"/>
      <c r="G31" s="158"/>
      <c r="H31" s="158"/>
      <c r="I31" s="158"/>
      <c r="J31" s="158"/>
      <c r="K31" s="61"/>
      <c r="L31" s="61"/>
      <c r="M31" s="61"/>
      <c r="N31" s="61"/>
      <c r="O31" s="61"/>
      <c r="P31" s="61"/>
      <c r="Q31" s="61"/>
      <c r="R31" s="61"/>
      <c r="S31" s="18"/>
      <c r="T31" s="18"/>
      <c r="U31" s="18"/>
      <c r="V31" s="18"/>
      <c r="W31" s="18"/>
      <c r="X31" s="18"/>
    </row>
    <row r="32" spans="1:24" ht="18" customHeight="1">
      <c r="A32" s="61"/>
      <c r="B32" s="63">
        <v>20</v>
      </c>
      <c r="C32" s="125" t="s">
        <v>36</v>
      </c>
      <c r="D32" s="149" t="s">
        <v>192</v>
      </c>
      <c r="E32" s="158">
        <v>3</v>
      </c>
      <c r="F32" s="158">
        <v>3</v>
      </c>
      <c r="G32" s="158">
        <v>3</v>
      </c>
      <c r="H32" s="158">
        <v>3</v>
      </c>
      <c r="I32" s="158">
        <v>3</v>
      </c>
      <c r="J32" s="158">
        <v>3</v>
      </c>
      <c r="K32" s="61"/>
      <c r="L32" s="61"/>
      <c r="M32" s="61"/>
      <c r="N32" s="61"/>
      <c r="O32" s="61"/>
      <c r="P32" s="61"/>
      <c r="Q32" s="61"/>
      <c r="R32" s="61"/>
      <c r="S32" s="18"/>
      <c r="T32" s="18"/>
      <c r="U32" s="18"/>
      <c r="V32" s="18"/>
      <c r="W32" s="18"/>
      <c r="X32" s="18"/>
    </row>
    <row r="33" spans="1:24" ht="18" customHeight="1">
      <c r="A33" s="61"/>
      <c r="B33" s="62">
        <v>21</v>
      </c>
      <c r="C33" s="125" t="s">
        <v>37</v>
      </c>
      <c r="D33" s="149" t="s">
        <v>193</v>
      </c>
      <c r="E33" s="158">
        <v>3</v>
      </c>
      <c r="F33" s="158">
        <v>3</v>
      </c>
      <c r="G33" s="158">
        <v>3</v>
      </c>
      <c r="H33" s="158">
        <v>3</v>
      </c>
      <c r="I33" s="158">
        <v>3</v>
      </c>
      <c r="J33" s="158">
        <v>3</v>
      </c>
      <c r="K33" s="61"/>
      <c r="L33" s="61"/>
      <c r="M33" s="61"/>
      <c r="N33" s="61"/>
      <c r="O33" s="61"/>
      <c r="P33" s="61"/>
      <c r="Q33" s="61"/>
      <c r="R33" s="61"/>
      <c r="S33" s="18"/>
      <c r="T33" s="18"/>
      <c r="U33" s="18"/>
      <c r="V33" s="18"/>
      <c r="W33" s="18"/>
      <c r="X33" s="18"/>
    </row>
    <row r="34" spans="1:24" ht="18" customHeight="1">
      <c r="A34" s="61"/>
      <c r="B34" s="63">
        <v>22</v>
      </c>
      <c r="C34" s="125" t="s">
        <v>38</v>
      </c>
      <c r="D34" s="149" t="s">
        <v>194</v>
      </c>
      <c r="E34" s="158">
        <v>3</v>
      </c>
      <c r="F34" s="158">
        <v>3</v>
      </c>
      <c r="G34" s="158">
        <v>3</v>
      </c>
      <c r="H34" s="158">
        <v>3</v>
      </c>
      <c r="I34" s="158">
        <v>3</v>
      </c>
      <c r="J34" s="158">
        <v>3</v>
      </c>
      <c r="K34" s="61"/>
      <c r="L34" s="61"/>
      <c r="M34" s="61"/>
      <c r="N34" s="61"/>
      <c r="O34" s="61"/>
      <c r="P34" s="61"/>
      <c r="Q34" s="61"/>
      <c r="R34" s="61"/>
      <c r="S34" s="18"/>
      <c r="T34" s="18"/>
      <c r="U34" s="18"/>
      <c r="V34" s="18"/>
      <c r="W34" s="18"/>
      <c r="X34" s="18"/>
    </row>
    <row r="35" spans="1:24" ht="18" customHeight="1">
      <c r="A35" s="61"/>
      <c r="B35" s="62">
        <v>23</v>
      </c>
      <c r="C35" s="125" t="s">
        <v>39</v>
      </c>
      <c r="D35" s="149" t="s">
        <v>195</v>
      </c>
      <c r="E35" s="158">
        <v>3</v>
      </c>
      <c r="F35" s="158">
        <v>3</v>
      </c>
      <c r="G35" s="158">
        <v>3</v>
      </c>
      <c r="H35" s="158">
        <v>3</v>
      </c>
      <c r="I35" s="158">
        <v>3</v>
      </c>
      <c r="J35" s="158">
        <v>3</v>
      </c>
      <c r="K35" s="61"/>
      <c r="L35" s="61"/>
      <c r="M35" s="61"/>
      <c r="N35" s="61"/>
      <c r="O35" s="61"/>
      <c r="P35" s="61"/>
      <c r="Q35" s="61"/>
      <c r="R35" s="61"/>
      <c r="S35" s="18"/>
      <c r="T35" s="18"/>
      <c r="U35" s="18"/>
      <c r="V35" s="18"/>
      <c r="W35" s="18"/>
      <c r="X35" s="18"/>
    </row>
    <row r="36" spans="1:24" ht="18" customHeight="1">
      <c r="A36" s="61"/>
      <c r="B36" s="63">
        <v>24</v>
      </c>
      <c r="C36" s="125" t="s">
        <v>40</v>
      </c>
      <c r="D36" s="151" t="s">
        <v>196</v>
      </c>
      <c r="E36" s="158">
        <v>2</v>
      </c>
      <c r="F36" s="158">
        <v>2</v>
      </c>
      <c r="G36" s="158">
        <v>2</v>
      </c>
      <c r="H36" s="158">
        <v>2</v>
      </c>
      <c r="I36" s="158">
        <v>2</v>
      </c>
      <c r="J36" s="158">
        <v>2</v>
      </c>
      <c r="K36" s="61"/>
      <c r="L36" s="61"/>
      <c r="M36" s="61"/>
      <c r="N36" s="61"/>
      <c r="O36" s="61"/>
      <c r="P36" s="61"/>
      <c r="Q36" s="61"/>
      <c r="R36" s="61"/>
      <c r="S36" s="18"/>
      <c r="T36" s="18"/>
      <c r="U36" s="18"/>
      <c r="V36" s="18"/>
      <c r="W36" s="18"/>
      <c r="X36" s="18"/>
    </row>
    <row r="37" spans="1:24" ht="18" customHeight="1">
      <c r="A37" s="61"/>
      <c r="B37" s="62">
        <v>25</v>
      </c>
      <c r="C37" s="125" t="s">
        <v>41</v>
      </c>
      <c r="D37" s="151" t="s">
        <v>197</v>
      </c>
      <c r="E37" s="158">
        <v>3</v>
      </c>
      <c r="F37" s="158">
        <v>3</v>
      </c>
      <c r="G37" s="158">
        <v>3</v>
      </c>
      <c r="H37" s="158">
        <v>3</v>
      </c>
      <c r="I37" s="158">
        <v>3</v>
      </c>
      <c r="J37" s="158">
        <v>3</v>
      </c>
      <c r="K37" s="61"/>
      <c r="L37" s="61"/>
      <c r="M37" s="61"/>
      <c r="N37" s="61"/>
      <c r="O37" s="61"/>
      <c r="P37" s="61"/>
      <c r="Q37" s="61"/>
      <c r="R37" s="61"/>
      <c r="S37" s="18"/>
      <c r="T37" s="18"/>
      <c r="U37" s="18"/>
      <c r="V37" s="18"/>
      <c r="W37" s="18"/>
      <c r="X37" s="18"/>
    </row>
    <row r="38" spans="1:24" ht="18" customHeight="1">
      <c r="A38" s="61"/>
      <c r="B38" s="63">
        <v>26</v>
      </c>
      <c r="C38" s="125" t="s">
        <v>42</v>
      </c>
      <c r="D38" s="151" t="s">
        <v>198</v>
      </c>
      <c r="E38" s="158">
        <v>3</v>
      </c>
      <c r="F38" s="158">
        <v>3</v>
      </c>
      <c r="G38" s="158">
        <v>3</v>
      </c>
      <c r="H38" s="158">
        <v>3</v>
      </c>
      <c r="I38" s="158">
        <v>3</v>
      </c>
      <c r="J38" s="158">
        <v>3</v>
      </c>
      <c r="K38" s="61"/>
      <c r="L38" s="61"/>
      <c r="M38" s="61"/>
      <c r="N38" s="61"/>
      <c r="O38" s="61"/>
      <c r="P38" s="61"/>
      <c r="Q38" s="61"/>
      <c r="R38" s="61"/>
      <c r="S38" s="18"/>
      <c r="T38" s="18"/>
      <c r="U38" s="18"/>
      <c r="V38" s="18"/>
      <c r="W38" s="18"/>
      <c r="X38" s="18"/>
    </row>
    <row r="39" spans="1:24" ht="18" customHeight="1">
      <c r="A39" s="61"/>
      <c r="B39" s="62">
        <v>27</v>
      </c>
      <c r="C39" s="125" t="s">
        <v>43</v>
      </c>
      <c r="D39" s="151" t="s">
        <v>199</v>
      </c>
      <c r="E39" s="158">
        <v>3</v>
      </c>
      <c r="F39" s="158">
        <v>3</v>
      </c>
      <c r="G39" s="158">
        <v>3</v>
      </c>
      <c r="H39" s="158">
        <v>3</v>
      </c>
      <c r="I39" s="158">
        <v>3</v>
      </c>
      <c r="J39" s="158">
        <v>3</v>
      </c>
      <c r="K39" s="61"/>
      <c r="L39" s="61"/>
      <c r="M39" s="61"/>
      <c r="N39" s="61"/>
      <c r="O39" s="61"/>
      <c r="P39" s="61"/>
      <c r="Q39" s="61"/>
      <c r="R39" s="61"/>
      <c r="S39" s="18"/>
      <c r="T39" s="18"/>
      <c r="U39" s="18"/>
      <c r="V39" s="18"/>
      <c r="W39" s="18"/>
      <c r="X39" s="18"/>
    </row>
    <row r="40" spans="1:24" ht="18" customHeight="1">
      <c r="A40" s="61"/>
      <c r="B40" s="63">
        <v>28</v>
      </c>
      <c r="C40" s="125" t="s">
        <v>44</v>
      </c>
      <c r="D40" s="151" t="s">
        <v>200</v>
      </c>
      <c r="E40" s="158">
        <v>3</v>
      </c>
      <c r="F40" s="158">
        <v>3</v>
      </c>
      <c r="G40" s="158">
        <v>3</v>
      </c>
      <c r="H40" s="158">
        <v>3</v>
      </c>
      <c r="I40" s="158">
        <v>3</v>
      </c>
      <c r="J40" s="158">
        <v>3</v>
      </c>
      <c r="K40" s="61"/>
      <c r="L40" s="61"/>
      <c r="M40" s="61"/>
      <c r="N40" s="61"/>
      <c r="O40" s="61"/>
      <c r="P40" s="61"/>
      <c r="Q40" s="61"/>
      <c r="R40" s="61"/>
      <c r="S40" s="18"/>
      <c r="T40" s="18"/>
      <c r="U40" s="18"/>
      <c r="V40" s="18"/>
      <c r="W40" s="18"/>
      <c r="X40" s="18"/>
    </row>
    <row r="41" spans="1:24" ht="18" customHeight="1">
      <c r="A41" s="61"/>
      <c r="B41" s="62">
        <v>29</v>
      </c>
      <c r="C41" s="125" t="s">
        <v>45</v>
      </c>
      <c r="D41" s="149" t="s">
        <v>201</v>
      </c>
      <c r="E41" s="158">
        <v>3</v>
      </c>
      <c r="F41" s="158">
        <v>3</v>
      </c>
      <c r="G41" s="158">
        <v>3</v>
      </c>
      <c r="H41" s="158">
        <v>3</v>
      </c>
      <c r="I41" s="158">
        <v>3</v>
      </c>
      <c r="J41" s="158">
        <v>3</v>
      </c>
      <c r="K41" s="61"/>
      <c r="L41" s="61"/>
      <c r="M41" s="61"/>
      <c r="N41" s="61"/>
      <c r="O41" s="61"/>
      <c r="P41" s="61"/>
      <c r="Q41" s="61"/>
      <c r="R41" s="61"/>
      <c r="S41" s="18"/>
      <c r="T41" s="18"/>
      <c r="U41" s="18"/>
      <c r="V41" s="18"/>
      <c r="W41" s="18"/>
      <c r="X41" s="18"/>
    </row>
    <row r="42" spans="1:24" ht="18" customHeight="1">
      <c r="A42" s="61"/>
      <c r="B42" s="63">
        <v>30</v>
      </c>
      <c r="C42" s="131" t="s">
        <v>46</v>
      </c>
      <c r="D42" s="152" t="s">
        <v>202</v>
      </c>
      <c r="E42" s="158">
        <v>3</v>
      </c>
      <c r="F42" s="158">
        <v>3</v>
      </c>
      <c r="G42" s="158">
        <v>3</v>
      </c>
      <c r="H42" s="158">
        <v>3</v>
      </c>
      <c r="I42" s="158">
        <v>3</v>
      </c>
      <c r="J42" s="158">
        <v>3</v>
      </c>
      <c r="K42" s="61"/>
      <c r="L42" s="61"/>
      <c r="M42" s="61"/>
      <c r="N42" s="61"/>
      <c r="O42" s="61"/>
      <c r="P42" s="61"/>
      <c r="Q42" s="61"/>
      <c r="R42" s="61"/>
      <c r="S42" s="18"/>
      <c r="T42" s="18"/>
      <c r="U42" s="18"/>
      <c r="V42" s="18"/>
      <c r="W42" s="18"/>
      <c r="X42" s="18"/>
    </row>
    <row r="43" spans="1:24" ht="18" customHeight="1">
      <c r="A43" s="61"/>
      <c r="B43" s="62">
        <v>31</v>
      </c>
      <c r="C43" s="125" t="s">
        <v>47</v>
      </c>
      <c r="D43" s="120" t="s">
        <v>203</v>
      </c>
      <c r="E43" s="158">
        <v>3</v>
      </c>
      <c r="F43" s="158">
        <v>3</v>
      </c>
      <c r="G43" s="158">
        <v>3</v>
      </c>
      <c r="H43" s="158">
        <v>3</v>
      </c>
      <c r="I43" s="158">
        <v>2</v>
      </c>
      <c r="J43" s="158">
        <v>2</v>
      </c>
      <c r="K43" s="61"/>
      <c r="L43" s="61"/>
      <c r="M43" s="61"/>
      <c r="N43" s="61"/>
      <c r="O43" s="61"/>
      <c r="P43" s="61"/>
      <c r="Q43" s="61"/>
      <c r="R43" s="61"/>
    </row>
    <row r="44" spans="1:24" ht="18" customHeight="1">
      <c r="A44" s="61"/>
      <c r="B44" s="63">
        <v>32</v>
      </c>
      <c r="C44" s="125" t="s">
        <v>48</v>
      </c>
      <c r="D44" s="120" t="s">
        <v>204</v>
      </c>
      <c r="E44" s="158">
        <v>3</v>
      </c>
      <c r="F44" s="158">
        <v>3</v>
      </c>
      <c r="G44" s="158">
        <v>3</v>
      </c>
      <c r="H44" s="158">
        <v>3</v>
      </c>
      <c r="I44" s="158">
        <v>3</v>
      </c>
      <c r="J44" s="158">
        <v>3</v>
      </c>
      <c r="K44" s="61"/>
      <c r="L44" s="61"/>
      <c r="M44" s="61"/>
      <c r="N44" s="61"/>
      <c r="O44" s="61"/>
      <c r="P44" s="61"/>
      <c r="Q44" s="61"/>
      <c r="R44" s="61"/>
    </row>
    <row r="45" spans="1:24" ht="18" customHeight="1">
      <c r="A45" s="61"/>
      <c r="B45" s="62">
        <v>33</v>
      </c>
      <c r="C45" s="131" t="s">
        <v>49</v>
      </c>
      <c r="D45" s="153" t="s">
        <v>205</v>
      </c>
      <c r="E45" s="158">
        <v>3</v>
      </c>
      <c r="F45" s="158">
        <v>3</v>
      </c>
      <c r="G45" s="158">
        <v>3</v>
      </c>
      <c r="H45" s="158">
        <v>3</v>
      </c>
      <c r="I45" s="158">
        <v>3</v>
      </c>
      <c r="J45" s="158">
        <v>3</v>
      </c>
      <c r="K45" s="61"/>
      <c r="L45" s="61"/>
      <c r="M45" s="61"/>
      <c r="N45" s="61"/>
      <c r="O45" s="61"/>
      <c r="P45" s="61"/>
      <c r="Q45" s="61"/>
      <c r="R45" s="61"/>
    </row>
    <row r="46" spans="1:24" ht="18" customHeight="1">
      <c r="A46" s="61"/>
      <c r="B46" s="63">
        <v>34</v>
      </c>
      <c r="C46" s="125" t="s">
        <v>50</v>
      </c>
      <c r="D46" s="149" t="s">
        <v>206</v>
      </c>
      <c r="E46" s="158">
        <v>3</v>
      </c>
      <c r="F46" s="158">
        <v>3</v>
      </c>
      <c r="G46" s="158">
        <v>3</v>
      </c>
      <c r="H46" s="158">
        <v>3</v>
      </c>
      <c r="I46" s="158">
        <v>3</v>
      </c>
      <c r="J46" s="158">
        <v>3</v>
      </c>
      <c r="K46" s="61"/>
      <c r="L46" s="61"/>
      <c r="M46" s="61"/>
      <c r="N46" s="61"/>
      <c r="O46" s="61"/>
      <c r="P46" s="61"/>
      <c r="Q46" s="61"/>
      <c r="R46" s="61"/>
    </row>
    <row r="47" spans="1:24" ht="18" customHeight="1" thickBot="1">
      <c r="A47" s="61"/>
      <c r="B47" s="62">
        <v>35</v>
      </c>
      <c r="C47" s="125" t="s">
        <v>51</v>
      </c>
      <c r="D47" s="149" t="s">
        <v>207</v>
      </c>
      <c r="E47" s="158">
        <v>3</v>
      </c>
      <c r="F47" s="158">
        <v>3</v>
      </c>
      <c r="G47" s="158">
        <v>3</v>
      </c>
      <c r="H47" s="158">
        <v>3</v>
      </c>
      <c r="I47" s="158">
        <v>3</v>
      </c>
      <c r="J47" s="158">
        <v>3</v>
      </c>
      <c r="K47" s="61"/>
      <c r="L47" s="61"/>
      <c r="M47" s="61"/>
      <c r="N47" s="61"/>
      <c r="O47" s="61"/>
      <c r="P47" s="61"/>
      <c r="Q47" s="61"/>
      <c r="R47" s="61"/>
    </row>
    <row r="48" spans="1:24" ht="18" customHeight="1" thickBot="1">
      <c r="A48" s="61"/>
      <c r="B48" s="63">
        <v>36</v>
      </c>
      <c r="C48" s="127" t="s">
        <v>52</v>
      </c>
      <c r="D48" s="154" t="s">
        <v>208</v>
      </c>
      <c r="E48" s="158">
        <v>3</v>
      </c>
      <c r="F48" s="158">
        <v>3</v>
      </c>
      <c r="G48" s="158">
        <v>3</v>
      </c>
      <c r="H48" s="158">
        <v>3</v>
      </c>
      <c r="I48" s="158">
        <v>3</v>
      </c>
      <c r="J48" s="158">
        <v>3</v>
      </c>
      <c r="K48" s="61"/>
      <c r="L48" s="61"/>
      <c r="M48" s="61"/>
      <c r="N48" s="61"/>
      <c r="O48" s="61"/>
      <c r="P48" s="61"/>
      <c r="Q48" s="61"/>
      <c r="R48" s="61"/>
    </row>
    <row r="49" spans="1:18" ht="18" customHeight="1" thickBot="1">
      <c r="A49" s="61"/>
      <c r="B49" s="62">
        <v>37</v>
      </c>
      <c r="C49" s="128" t="s">
        <v>53</v>
      </c>
      <c r="D49" s="155" t="s">
        <v>209</v>
      </c>
      <c r="E49" s="158"/>
      <c r="F49" s="158"/>
      <c r="G49" s="158"/>
      <c r="H49" s="158"/>
      <c r="I49" s="158"/>
      <c r="J49" s="158"/>
      <c r="K49" s="61"/>
      <c r="L49" s="61"/>
      <c r="M49" s="61"/>
      <c r="N49" s="61"/>
      <c r="O49" s="61"/>
      <c r="P49" s="61"/>
      <c r="Q49" s="61"/>
      <c r="R49" s="61"/>
    </row>
    <row r="50" spans="1:18" ht="18" customHeight="1" thickBot="1">
      <c r="A50" s="61"/>
      <c r="B50" s="63">
        <v>38</v>
      </c>
      <c r="C50" s="129" t="s">
        <v>54</v>
      </c>
      <c r="D50" s="156" t="s">
        <v>210</v>
      </c>
      <c r="E50" s="158">
        <v>3</v>
      </c>
      <c r="F50" s="158">
        <v>3</v>
      </c>
      <c r="G50" s="158">
        <v>3</v>
      </c>
      <c r="H50" s="158">
        <v>3</v>
      </c>
      <c r="I50" s="158">
        <v>3</v>
      </c>
      <c r="J50" s="158">
        <v>3</v>
      </c>
      <c r="K50" s="61"/>
      <c r="L50" s="61"/>
      <c r="M50" s="61"/>
      <c r="N50" s="61"/>
      <c r="O50" s="61"/>
      <c r="P50" s="61"/>
      <c r="Q50" s="61"/>
      <c r="R50" s="61"/>
    </row>
    <row r="51" spans="1:18" ht="18" customHeight="1" thickBot="1">
      <c r="A51" s="61"/>
      <c r="B51" s="62">
        <v>39</v>
      </c>
      <c r="C51" s="129" t="s">
        <v>55</v>
      </c>
      <c r="D51" s="156" t="s">
        <v>211</v>
      </c>
      <c r="E51" s="158">
        <v>3</v>
      </c>
      <c r="F51" s="158">
        <v>3</v>
      </c>
      <c r="G51" s="158">
        <v>3</v>
      </c>
      <c r="H51" s="158">
        <v>3</v>
      </c>
      <c r="I51" s="158">
        <v>3</v>
      </c>
      <c r="J51" s="158">
        <v>3</v>
      </c>
      <c r="K51" s="61"/>
      <c r="L51" s="61"/>
      <c r="M51" s="61"/>
      <c r="N51" s="61"/>
      <c r="O51" s="61"/>
      <c r="P51" s="61"/>
      <c r="Q51" s="61"/>
      <c r="R51" s="61"/>
    </row>
    <row r="52" spans="1:18" ht="18" customHeight="1" thickBot="1">
      <c r="A52" s="61"/>
      <c r="B52" s="63">
        <v>40</v>
      </c>
      <c r="C52" s="129" t="s">
        <v>56</v>
      </c>
      <c r="D52" s="156" t="s">
        <v>212</v>
      </c>
      <c r="E52" s="158">
        <v>2</v>
      </c>
      <c r="F52" s="158">
        <v>2</v>
      </c>
      <c r="G52" s="158">
        <v>2</v>
      </c>
      <c r="H52" s="158">
        <v>2</v>
      </c>
      <c r="I52" s="158">
        <v>2</v>
      </c>
      <c r="J52" s="158">
        <v>2</v>
      </c>
      <c r="K52" s="61"/>
      <c r="L52" s="61"/>
      <c r="M52" s="61"/>
      <c r="N52" s="61"/>
      <c r="O52" s="61"/>
      <c r="P52" s="61"/>
      <c r="Q52" s="61"/>
      <c r="R52" s="61"/>
    </row>
    <row r="53" spans="1:18" ht="18" customHeight="1" thickBot="1">
      <c r="A53" s="61"/>
      <c r="B53" s="62">
        <v>41</v>
      </c>
      <c r="C53" s="129" t="s">
        <v>57</v>
      </c>
      <c r="D53" s="156" t="s">
        <v>213</v>
      </c>
      <c r="E53" s="158">
        <v>3</v>
      </c>
      <c r="F53" s="158">
        <v>3</v>
      </c>
      <c r="G53" s="158">
        <v>3</v>
      </c>
      <c r="H53" s="158">
        <v>3</v>
      </c>
      <c r="I53" s="158">
        <v>3</v>
      </c>
      <c r="J53" s="158">
        <v>3</v>
      </c>
      <c r="K53" s="61"/>
      <c r="L53" s="61"/>
      <c r="M53" s="61"/>
      <c r="N53" s="61"/>
      <c r="O53" s="61"/>
      <c r="P53" s="61"/>
      <c r="Q53" s="61"/>
      <c r="R53" s="61"/>
    </row>
    <row r="54" spans="1:18" ht="18" customHeight="1" thickBot="1">
      <c r="A54" s="61"/>
      <c r="B54" s="63">
        <v>42</v>
      </c>
      <c r="C54" s="129" t="s">
        <v>58</v>
      </c>
      <c r="D54" s="156" t="s">
        <v>214</v>
      </c>
      <c r="E54" s="158">
        <v>3</v>
      </c>
      <c r="F54" s="158">
        <v>3</v>
      </c>
      <c r="G54" s="158">
        <v>3</v>
      </c>
      <c r="H54" s="158">
        <v>3</v>
      </c>
      <c r="I54" s="158">
        <v>3</v>
      </c>
      <c r="J54" s="158">
        <v>3</v>
      </c>
      <c r="K54" s="61"/>
      <c r="L54" s="61"/>
      <c r="M54" s="61"/>
      <c r="N54" s="61"/>
      <c r="O54" s="61"/>
      <c r="P54" s="61"/>
      <c r="Q54" s="61"/>
      <c r="R54" s="61"/>
    </row>
    <row r="55" spans="1:18" ht="18" customHeight="1" thickBot="1">
      <c r="A55" s="61"/>
      <c r="B55" s="62">
        <v>43</v>
      </c>
      <c r="C55" s="129" t="s">
        <v>59</v>
      </c>
      <c r="D55" s="157" t="s">
        <v>215</v>
      </c>
      <c r="E55" s="158">
        <v>2</v>
      </c>
      <c r="F55" s="158">
        <v>2</v>
      </c>
      <c r="G55" s="158">
        <v>2</v>
      </c>
      <c r="H55" s="158">
        <v>2</v>
      </c>
      <c r="I55" s="158">
        <v>2</v>
      </c>
      <c r="J55" s="158">
        <v>2</v>
      </c>
      <c r="K55" s="61"/>
      <c r="L55" s="61"/>
      <c r="M55" s="61"/>
      <c r="N55" s="61"/>
      <c r="O55" s="61"/>
      <c r="P55" s="61"/>
      <c r="Q55" s="61"/>
      <c r="R55" s="61"/>
    </row>
    <row r="56" spans="1:18" ht="18" customHeight="1" thickBot="1">
      <c r="A56" s="61"/>
      <c r="B56" s="63">
        <v>44</v>
      </c>
      <c r="C56" s="129" t="s">
        <v>60</v>
      </c>
      <c r="D56" s="156" t="s">
        <v>216</v>
      </c>
      <c r="E56" s="158">
        <v>2</v>
      </c>
      <c r="F56" s="158">
        <v>2</v>
      </c>
      <c r="G56" s="158">
        <v>2</v>
      </c>
      <c r="H56" s="158">
        <v>2</v>
      </c>
      <c r="I56" s="158">
        <v>2</v>
      </c>
      <c r="J56" s="158">
        <v>2</v>
      </c>
      <c r="K56" s="61"/>
      <c r="L56" s="61"/>
      <c r="M56" s="61"/>
      <c r="N56" s="61"/>
      <c r="O56" s="61"/>
      <c r="P56" s="61"/>
      <c r="Q56" s="61"/>
      <c r="R56" s="61"/>
    </row>
    <row r="57" spans="1:18" ht="18" customHeight="1" thickBot="1">
      <c r="A57" s="61"/>
      <c r="B57" s="62">
        <v>45</v>
      </c>
      <c r="C57" s="129" t="s">
        <v>61</v>
      </c>
      <c r="D57" s="156" t="s">
        <v>217</v>
      </c>
      <c r="E57" s="158">
        <v>3</v>
      </c>
      <c r="F57" s="158">
        <v>3</v>
      </c>
      <c r="G57" s="158">
        <v>3</v>
      </c>
      <c r="H57" s="158">
        <v>3</v>
      </c>
      <c r="I57" s="158">
        <v>3</v>
      </c>
      <c r="J57" s="158">
        <v>3</v>
      </c>
      <c r="K57" s="61"/>
      <c r="L57" s="61"/>
      <c r="M57" s="61"/>
      <c r="N57" s="61"/>
      <c r="O57" s="61"/>
      <c r="P57" s="61"/>
      <c r="Q57" s="61"/>
      <c r="R57" s="61"/>
    </row>
    <row r="58" spans="1:18" ht="18" customHeight="1" thickBot="1">
      <c r="A58" s="61"/>
      <c r="B58" s="63">
        <v>46</v>
      </c>
      <c r="C58" s="129" t="s">
        <v>62</v>
      </c>
      <c r="D58" s="156" t="s">
        <v>218</v>
      </c>
      <c r="E58" s="158"/>
      <c r="F58" s="158"/>
      <c r="G58" s="158"/>
      <c r="H58" s="158"/>
      <c r="I58" s="158"/>
      <c r="J58" s="158"/>
      <c r="K58" s="61"/>
      <c r="L58" s="61"/>
      <c r="M58" s="61"/>
      <c r="N58" s="61"/>
      <c r="O58" s="61"/>
      <c r="P58" s="61"/>
      <c r="Q58" s="61"/>
      <c r="R58" s="61"/>
    </row>
    <row r="59" spans="1:18" ht="18" customHeight="1" thickBot="1">
      <c r="A59" s="61"/>
      <c r="B59" s="62">
        <v>47</v>
      </c>
      <c r="C59" s="129" t="s">
        <v>63</v>
      </c>
      <c r="D59" s="156" t="s">
        <v>219</v>
      </c>
      <c r="E59" s="158">
        <v>3</v>
      </c>
      <c r="F59" s="158">
        <v>3</v>
      </c>
      <c r="G59" s="158">
        <v>3</v>
      </c>
      <c r="H59" s="158">
        <v>3</v>
      </c>
      <c r="I59" s="158">
        <v>3</v>
      </c>
      <c r="J59" s="158">
        <v>3</v>
      </c>
      <c r="K59" s="61"/>
      <c r="L59" s="61"/>
      <c r="M59" s="61"/>
      <c r="N59" s="61"/>
      <c r="O59" s="61"/>
      <c r="P59" s="61"/>
      <c r="Q59" s="61"/>
      <c r="R59" s="61"/>
    </row>
    <row r="60" spans="1:18" ht="18" customHeight="1" thickBot="1">
      <c r="A60" s="61"/>
      <c r="B60" s="63">
        <v>48</v>
      </c>
      <c r="C60" s="129" t="s">
        <v>64</v>
      </c>
      <c r="D60" s="156" t="s">
        <v>220</v>
      </c>
      <c r="E60" s="158">
        <v>3</v>
      </c>
      <c r="F60" s="158">
        <v>3</v>
      </c>
      <c r="G60" s="158">
        <v>3</v>
      </c>
      <c r="H60" s="158">
        <v>3</v>
      </c>
      <c r="I60" s="158">
        <v>3</v>
      </c>
      <c r="J60" s="158">
        <v>3</v>
      </c>
      <c r="K60" s="61"/>
      <c r="L60" s="61"/>
      <c r="M60" s="61"/>
      <c r="N60" s="61"/>
      <c r="O60" s="61"/>
      <c r="P60" s="61"/>
      <c r="Q60" s="61"/>
      <c r="R60" s="61"/>
    </row>
    <row r="61" spans="1:18" ht="18" customHeight="1" thickBot="1">
      <c r="A61" s="61"/>
      <c r="B61" s="62">
        <v>49</v>
      </c>
      <c r="C61" s="129" t="s">
        <v>65</v>
      </c>
      <c r="D61" s="156" t="s">
        <v>221</v>
      </c>
      <c r="E61" s="158">
        <v>3</v>
      </c>
      <c r="F61" s="158">
        <v>3</v>
      </c>
      <c r="G61" s="158">
        <v>3</v>
      </c>
      <c r="H61" s="158">
        <v>3</v>
      </c>
      <c r="I61" s="158">
        <v>3</v>
      </c>
      <c r="J61" s="158">
        <v>3</v>
      </c>
      <c r="K61" s="61"/>
      <c r="L61" s="61"/>
      <c r="M61" s="61"/>
      <c r="N61" s="61"/>
      <c r="O61" s="61"/>
      <c r="P61" s="61"/>
      <c r="Q61" s="61"/>
      <c r="R61" s="61"/>
    </row>
    <row r="62" spans="1:18" ht="18" customHeight="1" thickBot="1">
      <c r="A62" s="61"/>
      <c r="B62" s="63">
        <v>50</v>
      </c>
      <c r="C62" s="129" t="s">
        <v>66</v>
      </c>
      <c r="D62" s="156" t="s">
        <v>222</v>
      </c>
      <c r="E62" s="161"/>
      <c r="F62" s="161"/>
      <c r="G62" s="162"/>
      <c r="H62" s="162"/>
      <c r="I62" s="158"/>
      <c r="J62" s="158"/>
      <c r="K62" s="61"/>
      <c r="L62" s="61"/>
      <c r="M62" s="61"/>
      <c r="N62" s="61"/>
      <c r="O62" s="61"/>
      <c r="P62" s="61"/>
      <c r="Q62" s="61"/>
      <c r="R62" s="61"/>
    </row>
    <row r="63" spans="1:18" ht="18" customHeight="1" thickBot="1">
      <c r="A63" s="61"/>
      <c r="B63" s="62">
        <v>51</v>
      </c>
      <c r="C63" s="129" t="s">
        <v>67</v>
      </c>
      <c r="D63" s="157" t="s">
        <v>223</v>
      </c>
      <c r="E63" s="158">
        <v>3</v>
      </c>
      <c r="F63" s="158">
        <v>3</v>
      </c>
      <c r="G63" s="158">
        <v>3</v>
      </c>
      <c r="H63" s="158">
        <v>3</v>
      </c>
      <c r="I63" s="158">
        <v>3</v>
      </c>
      <c r="J63" s="158">
        <v>3</v>
      </c>
      <c r="K63" s="61"/>
      <c r="L63" s="61"/>
      <c r="M63" s="61"/>
      <c r="N63" s="61"/>
      <c r="O63" s="61"/>
      <c r="P63" s="61"/>
      <c r="Q63" s="61"/>
      <c r="R63" s="61"/>
    </row>
    <row r="64" spans="1:18" ht="18" customHeight="1" thickBot="1">
      <c r="A64" s="61"/>
      <c r="B64" s="63">
        <v>52</v>
      </c>
      <c r="C64" s="129" t="s">
        <v>68</v>
      </c>
      <c r="D64" s="156" t="s">
        <v>224</v>
      </c>
      <c r="E64" s="158">
        <v>3</v>
      </c>
      <c r="F64" s="158">
        <v>3</v>
      </c>
      <c r="G64" s="158">
        <v>3</v>
      </c>
      <c r="H64" s="158">
        <v>3</v>
      </c>
      <c r="I64" s="158">
        <v>3</v>
      </c>
      <c r="J64" s="158">
        <v>3</v>
      </c>
      <c r="K64" s="61"/>
      <c r="L64" s="61"/>
      <c r="M64" s="61"/>
      <c r="N64" s="61"/>
      <c r="O64" s="61"/>
      <c r="P64" s="61"/>
      <c r="Q64" s="61"/>
      <c r="R64" s="61"/>
    </row>
    <row r="65" spans="1:18" ht="18" customHeight="1" thickBot="1">
      <c r="A65" s="61"/>
      <c r="B65" s="62">
        <v>53</v>
      </c>
      <c r="C65" s="129" t="s">
        <v>69</v>
      </c>
      <c r="D65" s="156" t="s">
        <v>225</v>
      </c>
      <c r="E65" s="158">
        <v>3</v>
      </c>
      <c r="F65" s="158">
        <v>3</v>
      </c>
      <c r="G65" s="158">
        <v>3</v>
      </c>
      <c r="H65" s="158">
        <v>3</v>
      </c>
      <c r="I65" s="158">
        <v>3</v>
      </c>
      <c r="J65" s="158">
        <v>3</v>
      </c>
      <c r="K65" s="61"/>
      <c r="L65" s="61"/>
      <c r="M65" s="61"/>
      <c r="N65" s="61"/>
      <c r="O65" s="61"/>
      <c r="P65" s="61"/>
      <c r="Q65" s="61"/>
      <c r="R65" s="61"/>
    </row>
    <row r="66" spans="1:18" ht="18" customHeight="1" thickBot="1">
      <c r="A66" s="61"/>
      <c r="B66" s="63">
        <v>54</v>
      </c>
      <c r="C66" s="129" t="s">
        <v>70</v>
      </c>
      <c r="D66" s="156" t="s">
        <v>226</v>
      </c>
      <c r="E66" s="159">
        <v>2</v>
      </c>
      <c r="F66" s="159">
        <v>2</v>
      </c>
      <c r="G66" s="159">
        <v>2</v>
      </c>
      <c r="H66" s="159">
        <v>2</v>
      </c>
      <c r="I66" s="159">
        <v>2</v>
      </c>
      <c r="J66" s="159">
        <v>2</v>
      </c>
      <c r="K66" s="61"/>
      <c r="L66" s="61"/>
      <c r="M66" s="61"/>
      <c r="N66" s="61"/>
      <c r="O66" s="61"/>
      <c r="P66" s="61"/>
      <c r="Q66" s="61"/>
      <c r="R66" s="61"/>
    </row>
    <row r="67" spans="1:18" ht="18" customHeight="1" thickBot="1">
      <c r="A67" s="61"/>
      <c r="B67" s="62">
        <v>55</v>
      </c>
      <c r="C67" s="129" t="s">
        <v>71</v>
      </c>
      <c r="D67" s="156" t="s">
        <v>227</v>
      </c>
      <c r="E67" s="158">
        <v>3</v>
      </c>
      <c r="F67" s="158">
        <v>3</v>
      </c>
      <c r="G67" s="158">
        <v>3</v>
      </c>
      <c r="H67" s="158">
        <v>3</v>
      </c>
      <c r="I67" s="158">
        <v>3</v>
      </c>
      <c r="J67" s="158">
        <v>3</v>
      </c>
      <c r="K67" s="61"/>
      <c r="L67" s="61"/>
      <c r="M67" s="61"/>
      <c r="N67" s="61"/>
      <c r="O67" s="61"/>
      <c r="P67" s="61"/>
      <c r="Q67" s="61"/>
      <c r="R67" s="61"/>
    </row>
    <row r="68" spans="1:18" ht="18" customHeight="1" thickBot="1">
      <c r="A68" s="61"/>
      <c r="B68" s="63">
        <v>56</v>
      </c>
      <c r="C68" s="129" t="s">
        <v>72</v>
      </c>
      <c r="D68" s="156" t="s">
        <v>228</v>
      </c>
      <c r="E68" s="158">
        <v>3</v>
      </c>
      <c r="F68" s="163">
        <v>3</v>
      </c>
      <c r="G68" s="163">
        <v>3</v>
      </c>
      <c r="H68" s="163">
        <v>3</v>
      </c>
      <c r="I68" s="158">
        <v>3</v>
      </c>
      <c r="J68" s="158">
        <v>3</v>
      </c>
      <c r="K68" s="61"/>
      <c r="L68" s="61"/>
      <c r="M68" s="61"/>
      <c r="N68" s="61"/>
      <c r="O68" s="61"/>
      <c r="P68" s="61"/>
      <c r="Q68" s="61"/>
      <c r="R68" s="61"/>
    </row>
    <row r="69" spans="1:18" ht="18" customHeight="1" thickBot="1">
      <c r="A69" s="61"/>
      <c r="B69" s="62">
        <v>57</v>
      </c>
      <c r="C69" s="129" t="s">
        <v>73</v>
      </c>
      <c r="D69" s="156" t="s">
        <v>229</v>
      </c>
      <c r="E69" s="163">
        <v>3</v>
      </c>
      <c r="F69" s="163">
        <v>3</v>
      </c>
      <c r="G69" s="163">
        <v>3</v>
      </c>
      <c r="H69" s="163">
        <v>3</v>
      </c>
      <c r="I69" s="158">
        <v>2</v>
      </c>
      <c r="J69" s="158">
        <v>2</v>
      </c>
      <c r="K69" s="61"/>
      <c r="L69" s="61"/>
      <c r="M69" s="61"/>
      <c r="N69" s="61"/>
      <c r="O69" s="61"/>
      <c r="P69" s="61"/>
      <c r="Q69" s="61"/>
      <c r="R69" s="61"/>
    </row>
    <row r="70" spans="1:18" ht="18" customHeight="1" thickBot="1">
      <c r="A70" s="61"/>
      <c r="B70" s="63">
        <v>58</v>
      </c>
      <c r="C70" s="129" t="s">
        <v>74</v>
      </c>
      <c r="D70" s="156" t="s">
        <v>230</v>
      </c>
      <c r="E70" s="158">
        <v>3</v>
      </c>
      <c r="F70" s="163">
        <v>3</v>
      </c>
      <c r="G70" s="163">
        <v>3</v>
      </c>
      <c r="H70" s="163">
        <v>3</v>
      </c>
      <c r="I70" s="158">
        <v>3</v>
      </c>
      <c r="J70" s="158">
        <v>3</v>
      </c>
      <c r="K70" s="61"/>
      <c r="L70" s="61"/>
      <c r="M70" s="61"/>
      <c r="N70" s="61"/>
      <c r="O70" s="61"/>
      <c r="P70" s="61"/>
      <c r="Q70" s="61"/>
      <c r="R70" s="61"/>
    </row>
    <row r="71" spans="1:18" ht="18" customHeight="1" thickBot="1">
      <c r="A71" s="61"/>
      <c r="B71" s="62">
        <v>59</v>
      </c>
      <c r="C71" s="129" t="s">
        <v>75</v>
      </c>
      <c r="D71" s="156" t="s">
        <v>231</v>
      </c>
      <c r="E71" s="158">
        <v>3</v>
      </c>
      <c r="F71" s="163">
        <v>3</v>
      </c>
      <c r="G71" s="163">
        <v>3</v>
      </c>
      <c r="H71" s="163">
        <v>3</v>
      </c>
      <c r="I71" s="158">
        <v>3</v>
      </c>
      <c r="J71" s="158">
        <v>3</v>
      </c>
      <c r="K71" s="61"/>
      <c r="L71" s="61"/>
      <c r="M71" s="61"/>
      <c r="N71" s="61"/>
      <c r="O71" s="61"/>
      <c r="P71" s="61"/>
      <c r="Q71" s="61"/>
      <c r="R71" s="61"/>
    </row>
    <row r="72" spans="1:18" ht="18" customHeight="1" thickBot="1">
      <c r="A72" s="61"/>
      <c r="B72" s="63">
        <v>60</v>
      </c>
      <c r="C72" s="129" t="s">
        <v>76</v>
      </c>
      <c r="D72" s="156" t="s">
        <v>232</v>
      </c>
      <c r="E72" s="158">
        <v>2</v>
      </c>
      <c r="F72" s="158">
        <v>2</v>
      </c>
      <c r="G72" s="158">
        <v>2</v>
      </c>
      <c r="H72" s="158">
        <v>2</v>
      </c>
      <c r="I72" s="158">
        <v>2</v>
      </c>
      <c r="J72" s="158">
        <v>2</v>
      </c>
      <c r="K72" s="61"/>
      <c r="L72" s="61"/>
      <c r="M72" s="61"/>
      <c r="N72" s="61"/>
      <c r="O72" s="61"/>
      <c r="P72" s="61"/>
      <c r="Q72" s="61"/>
      <c r="R72" s="61"/>
    </row>
    <row r="73" spans="1:18" ht="18" customHeight="1" thickBot="1">
      <c r="A73" s="61"/>
      <c r="B73" s="62">
        <v>61</v>
      </c>
      <c r="C73" s="130" t="s">
        <v>77</v>
      </c>
      <c r="D73" s="156" t="s">
        <v>233</v>
      </c>
      <c r="E73" s="158">
        <v>3</v>
      </c>
      <c r="F73" s="158">
        <v>2</v>
      </c>
      <c r="G73" s="158">
        <v>3</v>
      </c>
      <c r="H73" s="158">
        <v>3</v>
      </c>
      <c r="I73" s="158">
        <v>3</v>
      </c>
      <c r="J73" s="158">
        <v>3</v>
      </c>
      <c r="K73" s="61"/>
      <c r="L73" s="61"/>
      <c r="M73" s="61"/>
      <c r="N73" s="61"/>
      <c r="O73" s="61"/>
      <c r="P73" s="61"/>
      <c r="Q73" s="61"/>
      <c r="R73" s="61"/>
    </row>
    <row r="74" spans="1:18" ht="18" customHeight="1" thickBot="1">
      <c r="A74" s="61"/>
      <c r="B74" s="63">
        <v>62</v>
      </c>
      <c r="C74" s="129" t="s">
        <v>78</v>
      </c>
      <c r="D74" s="156" t="s">
        <v>234</v>
      </c>
      <c r="E74" s="161"/>
      <c r="F74" s="161"/>
      <c r="G74" s="162"/>
      <c r="H74" s="162"/>
      <c r="I74" s="158"/>
      <c r="J74" s="158"/>
      <c r="K74" s="61"/>
      <c r="L74" s="61"/>
      <c r="M74" s="61"/>
      <c r="N74" s="61"/>
      <c r="O74" s="61"/>
      <c r="P74" s="61"/>
      <c r="Q74" s="61"/>
      <c r="R74" s="61"/>
    </row>
    <row r="75" spans="1:18" ht="18" customHeight="1" thickBot="1">
      <c r="A75" s="61"/>
      <c r="B75" s="62">
        <v>63</v>
      </c>
      <c r="C75" s="129" t="s">
        <v>79</v>
      </c>
      <c r="D75" s="156" t="s">
        <v>235</v>
      </c>
      <c r="E75" s="158">
        <v>3</v>
      </c>
      <c r="F75" s="158">
        <v>3</v>
      </c>
      <c r="G75" s="158">
        <v>3</v>
      </c>
      <c r="H75" s="158">
        <v>3</v>
      </c>
      <c r="I75" s="158">
        <v>3</v>
      </c>
      <c r="J75" s="158">
        <v>3</v>
      </c>
      <c r="K75" s="61"/>
      <c r="L75" s="61"/>
      <c r="M75" s="61"/>
      <c r="N75" s="61"/>
      <c r="O75" s="61"/>
      <c r="P75" s="61"/>
      <c r="Q75" s="61"/>
      <c r="R75" s="61"/>
    </row>
    <row r="76" spans="1:18" ht="18" customHeight="1" thickBot="1">
      <c r="A76" s="61"/>
      <c r="B76" s="63">
        <v>64</v>
      </c>
      <c r="C76" s="129" t="s">
        <v>80</v>
      </c>
      <c r="D76" s="156" t="s">
        <v>236</v>
      </c>
      <c r="E76" s="158">
        <v>3</v>
      </c>
      <c r="F76" s="158">
        <v>3</v>
      </c>
      <c r="G76" s="158">
        <v>3</v>
      </c>
      <c r="H76" s="158">
        <v>3</v>
      </c>
      <c r="I76" s="158">
        <v>3</v>
      </c>
      <c r="J76" s="158">
        <v>3</v>
      </c>
      <c r="K76" s="61"/>
      <c r="L76" s="61"/>
      <c r="M76" s="61"/>
      <c r="N76" s="61"/>
      <c r="O76" s="61"/>
      <c r="P76" s="61"/>
      <c r="Q76" s="61"/>
      <c r="R76" s="61"/>
    </row>
    <row r="77" spans="1:18" ht="18" customHeight="1" thickBot="1">
      <c r="A77" s="61"/>
      <c r="B77" s="62">
        <v>65</v>
      </c>
      <c r="C77" s="129" t="s">
        <v>81</v>
      </c>
      <c r="D77" s="156" t="s">
        <v>237</v>
      </c>
      <c r="E77" s="158"/>
      <c r="F77" s="158"/>
      <c r="G77" s="158"/>
      <c r="H77" s="158"/>
      <c r="I77" s="158"/>
      <c r="J77" s="158"/>
      <c r="K77" s="61"/>
      <c r="L77" s="61"/>
      <c r="M77" s="61"/>
      <c r="N77" s="61"/>
      <c r="O77" s="61"/>
      <c r="P77" s="61"/>
      <c r="Q77" s="61"/>
      <c r="R77" s="61"/>
    </row>
    <row r="78" spans="1:18" ht="18" customHeight="1" thickBot="1">
      <c r="A78" s="61"/>
      <c r="B78" s="63">
        <v>66</v>
      </c>
      <c r="C78" s="129" t="s">
        <v>82</v>
      </c>
      <c r="D78" s="156" t="s">
        <v>238</v>
      </c>
      <c r="E78" s="158">
        <v>3</v>
      </c>
      <c r="F78" s="158">
        <v>2</v>
      </c>
      <c r="G78" s="158">
        <v>3</v>
      </c>
      <c r="H78" s="158">
        <v>2</v>
      </c>
      <c r="I78" s="158">
        <v>3</v>
      </c>
      <c r="J78" s="158">
        <v>2</v>
      </c>
      <c r="K78" s="61"/>
      <c r="L78" s="61"/>
      <c r="M78" s="61"/>
      <c r="N78" s="61"/>
      <c r="O78" s="61"/>
      <c r="P78" s="61"/>
      <c r="Q78" s="61"/>
      <c r="R78" s="61"/>
    </row>
    <row r="79" spans="1:18" ht="18" customHeight="1" thickBot="1">
      <c r="A79" s="61"/>
      <c r="B79" s="62">
        <v>67</v>
      </c>
      <c r="C79" s="129" t="s">
        <v>83</v>
      </c>
      <c r="D79" s="156" t="s">
        <v>239</v>
      </c>
      <c r="E79" s="158"/>
      <c r="F79" s="158"/>
      <c r="G79" s="158"/>
      <c r="H79" s="158"/>
      <c r="I79" s="158"/>
      <c r="J79" s="158"/>
      <c r="K79" s="61"/>
      <c r="L79" s="61"/>
      <c r="M79" s="61"/>
      <c r="N79" s="61"/>
      <c r="O79" s="61"/>
      <c r="P79" s="61"/>
      <c r="Q79" s="61"/>
      <c r="R79" s="61"/>
    </row>
    <row r="80" spans="1:18" ht="18" customHeight="1" thickBot="1">
      <c r="A80" s="61"/>
      <c r="B80" s="63">
        <v>68</v>
      </c>
      <c r="C80" s="129" t="s">
        <v>84</v>
      </c>
      <c r="D80" s="156" t="s">
        <v>240</v>
      </c>
      <c r="E80" s="158"/>
      <c r="F80" s="158"/>
      <c r="G80" s="158"/>
      <c r="H80" s="158"/>
      <c r="I80" s="158"/>
      <c r="J80" s="158"/>
      <c r="K80" s="61"/>
      <c r="L80" s="61"/>
      <c r="M80" s="61"/>
      <c r="N80" s="61"/>
      <c r="O80" s="61"/>
      <c r="P80" s="61"/>
      <c r="Q80" s="61"/>
      <c r="R80" s="61"/>
    </row>
    <row r="81" spans="1:18" ht="18" customHeight="1" thickBot="1">
      <c r="A81" s="61"/>
      <c r="B81" s="62">
        <v>69</v>
      </c>
      <c r="C81" s="129" t="s">
        <v>85</v>
      </c>
      <c r="D81" s="156" t="s">
        <v>241</v>
      </c>
      <c r="E81" s="158">
        <v>3</v>
      </c>
      <c r="F81" s="158">
        <v>3</v>
      </c>
      <c r="G81" s="158">
        <v>3</v>
      </c>
      <c r="H81" s="158">
        <v>3</v>
      </c>
      <c r="I81" s="158">
        <v>3</v>
      </c>
      <c r="J81" s="158">
        <v>3</v>
      </c>
      <c r="K81" s="61"/>
      <c r="L81" s="61"/>
      <c r="M81" s="61"/>
      <c r="N81" s="61"/>
      <c r="O81" s="61"/>
      <c r="P81" s="61"/>
      <c r="Q81" s="61"/>
      <c r="R81" s="61"/>
    </row>
    <row r="82" spans="1:18" ht="18" customHeight="1" thickBot="1">
      <c r="A82" s="61"/>
      <c r="B82" s="63">
        <v>70</v>
      </c>
      <c r="C82" s="129" t="s">
        <v>86</v>
      </c>
      <c r="D82" s="156" t="s">
        <v>242</v>
      </c>
      <c r="E82" s="158">
        <v>3</v>
      </c>
      <c r="F82" s="158">
        <v>3</v>
      </c>
      <c r="G82" s="158">
        <v>3</v>
      </c>
      <c r="H82" s="158">
        <v>3</v>
      </c>
      <c r="I82" s="158">
        <v>2</v>
      </c>
      <c r="J82" s="158">
        <v>3</v>
      </c>
      <c r="K82" s="61"/>
      <c r="L82" s="61"/>
      <c r="M82" s="61"/>
      <c r="N82" s="61"/>
      <c r="O82" s="61"/>
      <c r="P82" s="61"/>
      <c r="Q82" s="61"/>
      <c r="R82" s="61"/>
    </row>
    <row r="83" spans="1:18" ht="18" customHeight="1" thickBot="1">
      <c r="A83" s="61"/>
      <c r="B83" s="62">
        <v>71</v>
      </c>
      <c r="C83" s="129" t="s">
        <v>87</v>
      </c>
      <c r="D83" s="156" t="s">
        <v>243</v>
      </c>
      <c r="E83" s="158">
        <v>3</v>
      </c>
      <c r="F83" s="158">
        <v>3</v>
      </c>
      <c r="G83" s="158">
        <v>3</v>
      </c>
      <c r="H83" s="158">
        <v>3</v>
      </c>
      <c r="I83" s="158">
        <v>2</v>
      </c>
      <c r="J83" s="158">
        <v>3</v>
      </c>
      <c r="K83" s="61"/>
      <c r="L83" s="61"/>
      <c r="M83" s="61"/>
      <c r="N83" s="61"/>
      <c r="O83" s="61"/>
      <c r="P83" s="61"/>
      <c r="Q83" s="61"/>
      <c r="R83" s="61"/>
    </row>
    <row r="84" spans="1:18" ht="18" customHeight="1" thickBot="1">
      <c r="A84" s="61"/>
      <c r="B84" s="63">
        <v>72</v>
      </c>
      <c r="C84" s="129" t="s">
        <v>88</v>
      </c>
      <c r="D84" s="156" t="s">
        <v>244</v>
      </c>
      <c r="E84" s="158">
        <v>3</v>
      </c>
      <c r="F84" s="158">
        <v>3</v>
      </c>
      <c r="G84" s="163">
        <v>3</v>
      </c>
      <c r="H84" s="163">
        <v>3</v>
      </c>
      <c r="I84" s="158">
        <v>3</v>
      </c>
      <c r="J84" s="158">
        <v>2</v>
      </c>
      <c r="K84" s="61"/>
      <c r="L84" s="61"/>
      <c r="M84" s="61"/>
      <c r="N84" s="61"/>
      <c r="O84" s="61"/>
      <c r="P84" s="61"/>
      <c r="Q84" s="61"/>
      <c r="R84" s="61"/>
    </row>
    <row r="85" spans="1:18" ht="18" customHeight="1" thickBot="1">
      <c r="A85" s="61"/>
      <c r="B85" s="62">
        <v>73</v>
      </c>
      <c r="C85" s="129" t="s">
        <v>245</v>
      </c>
      <c r="D85" s="156" t="s">
        <v>246</v>
      </c>
      <c r="E85" s="159"/>
      <c r="F85" s="159"/>
      <c r="G85" s="159"/>
      <c r="H85" s="159"/>
      <c r="I85" s="159"/>
      <c r="J85" s="159"/>
      <c r="K85" s="61"/>
      <c r="L85" s="61"/>
      <c r="M85" s="61"/>
      <c r="N85" s="61"/>
      <c r="O85" s="61"/>
      <c r="P85" s="61"/>
      <c r="Q85" s="61"/>
      <c r="R85" s="61"/>
    </row>
    <row r="86" spans="1:18" ht="18" customHeight="1" thickBot="1">
      <c r="A86" s="61"/>
      <c r="B86" s="63">
        <v>74</v>
      </c>
      <c r="C86" s="129" t="s">
        <v>247</v>
      </c>
      <c r="D86" s="156" t="s">
        <v>248</v>
      </c>
      <c r="E86" s="158">
        <v>3</v>
      </c>
      <c r="F86" s="158">
        <v>3</v>
      </c>
      <c r="G86" s="158">
        <v>3</v>
      </c>
      <c r="H86" s="158">
        <v>3</v>
      </c>
      <c r="I86" s="158">
        <v>3</v>
      </c>
      <c r="J86" s="158">
        <v>3</v>
      </c>
      <c r="K86" s="61"/>
      <c r="L86" s="61"/>
      <c r="M86" s="61"/>
      <c r="N86" s="61"/>
      <c r="O86" s="61"/>
      <c r="P86" s="61"/>
      <c r="Q86" s="61"/>
      <c r="R86" s="61"/>
    </row>
    <row r="87" spans="1:18" ht="18" customHeight="1" thickBot="1">
      <c r="A87" s="61"/>
      <c r="B87" s="62">
        <v>75</v>
      </c>
      <c r="C87" s="129" t="s">
        <v>249</v>
      </c>
      <c r="D87" s="156" t="s">
        <v>250</v>
      </c>
      <c r="E87" s="158">
        <v>3</v>
      </c>
      <c r="F87" s="158">
        <v>3</v>
      </c>
      <c r="G87" s="158">
        <v>3</v>
      </c>
      <c r="H87" s="158">
        <v>3</v>
      </c>
      <c r="I87" s="158">
        <v>3</v>
      </c>
      <c r="J87" s="158">
        <v>3</v>
      </c>
      <c r="K87" s="61"/>
      <c r="L87" s="61"/>
      <c r="M87" s="61"/>
      <c r="N87" s="61"/>
      <c r="O87" s="61"/>
      <c r="P87" s="61"/>
      <c r="Q87" s="61"/>
      <c r="R87" s="61"/>
    </row>
    <row r="88" spans="1:18" ht="18" customHeight="1" thickBot="1">
      <c r="A88" s="61"/>
      <c r="B88" s="63">
        <v>76</v>
      </c>
      <c r="C88" s="129" t="s">
        <v>251</v>
      </c>
      <c r="D88" s="156" t="s">
        <v>252</v>
      </c>
      <c r="E88" s="158">
        <v>3</v>
      </c>
      <c r="F88" s="158">
        <v>3</v>
      </c>
      <c r="G88" s="158">
        <v>3</v>
      </c>
      <c r="H88" s="158">
        <v>3</v>
      </c>
      <c r="I88" s="158">
        <v>3</v>
      </c>
      <c r="J88" s="158">
        <v>3</v>
      </c>
      <c r="K88" s="61"/>
      <c r="L88" s="61"/>
      <c r="M88" s="61"/>
      <c r="N88" s="61"/>
      <c r="O88" s="61"/>
      <c r="P88" s="61"/>
      <c r="Q88" s="61"/>
      <c r="R88" s="61"/>
    </row>
    <row r="89" spans="1:18" ht="18" customHeight="1" thickBot="1">
      <c r="A89" s="61"/>
      <c r="B89" s="62">
        <v>77</v>
      </c>
      <c r="C89" s="129" t="s">
        <v>253</v>
      </c>
      <c r="D89" s="156" t="s">
        <v>254</v>
      </c>
      <c r="E89" s="158"/>
      <c r="F89" s="158"/>
      <c r="G89" s="158"/>
      <c r="H89" s="158"/>
      <c r="I89" s="158"/>
      <c r="J89" s="158"/>
      <c r="K89" s="61"/>
      <c r="L89" s="61"/>
      <c r="M89" s="61"/>
      <c r="N89" s="61"/>
      <c r="O89" s="61"/>
      <c r="P89" s="61"/>
      <c r="Q89" s="61"/>
      <c r="R89" s="61"/>
    </row>
    <row r="90" spans="1:18" ht="18" customHeight="1" thickBot="1">
      <c r="A90" s="61"/>
      <c r="B90" s="63">
        <v>78</v>
      </c>
      <c r="C90" s="129" t="s">
        <v>255</v>
      </c>
      <c r="D90" s="156" t="s">
        <v>256</v>
      </c>
      <c r="E90" s="158">
        <v>3</v>
      </c>
      <c r="F90" s="158">
        <v>3</v>
      </c>
      <c r="G90" s="158">
        <v>3</v>
      </c>
      <c r="H90" s="158">
        <v>3</v>
      </c>
      <c r="I90" s="158">
        <v>3</v>
      </c>
      <c r="J90" s="158">
        <v>3</v>
      </c>
      <c r="K90" s="61"/>
      <c r="L90" s="61"/>
      <c r="M90" s="61"/>
      <c r="N90" s="61"/>
      <c r="O90" s="61"/>
      <c r="P90" s="61"/>
      <c r="Q90" s="61"/>
      <c r="R90" s="61"/>
    </row>
    <row r="91" spans="1:18" ht="18" customHeight="1" thickBot="1">
      <c r="A91" s="61"/>
      <c r="B91" s="62">
        <v>79</v>
      </c>
      <c r="C91" s="129" t="s">
        <v>257</v>
      </c>
      <c r="D91" s="156" t="s">
        <v>258</v>
      </c>
      <c r="E91" s="158"/>
      <c r="F91" s="158"/>
      <c r="G91" s="158"/>
      <c r="H91" s="158"/>
      <c r="I91" s="158"/>
      <c r="J91" s="158"/>
      <c r="K91" s="61"/>
      <c r="L91" s="61"/>
      <c r="M91" s="61"/>
      <c r="N91" s="61"/>
      <c r="O91" s="61"/>
      <c r="P91" s="61"/>
      <c r="Q91" s="61"/>
      <c r="R91" s="61"/>
    </row>
    <row r="92" spans="1:18" ht="18" customHeight="1" thickBot="1">
      <c r="A92" s="61"/>
      <c r="B92" s="63">
        <v>80</v>
      </c>
      <c r="C92" s="129" t="s">
        <v>259</v>
      </c>
      <c r="D92" s="156" t="s">
        <v>260</v>
      </c>
      <c r="E92" s="158"/>
      <c r="F92" s="158"/>
      <c r="G92" s="158"/>
      <c r="H92" s="158"/>
      <c r="I92" s="158"/>
      <c r="J92" s="158"/>
      <c r="K92" s="61"/>
      <c r="L92" s="61"/>
      <c r="M92" s="61"/>
      <c r="N92" s="61"/>
      <c r="O92" s="61"/>
      <c r="P92" s="61"/>
      <c r="Q92" s="61"/>
      <c r="R92" s="61"/>
    </row>
    <row r="93" spans="1:18" ht="18" customHeight="1" thickBot="1">
      <c r="A93" s="61"/>
      <c r="B93" s="62">
        <v>81</v>
      </c>
      <c r="C93" s="129" t="s">
        <v>261</v>
      </c>
      <c r="D93" s="156" t="s">
        <v>262</v>
      </c>
      <c r="E93" s="158">
        <v>3</v>
      </c>
      <c r="F93" s="158">
        <v>3</v>
      </c>
      <c r="G93" s="158">
        <v>3</v>
      </c>
      <c r="H93" s="158">
        <v>3</v>
      </c>
      <c r="I93" s="158">
        <v>3</v>
      </c>
      <c r="J93" s="158">
        <v>3</v>
      </c>
      <c r="K93" s="61"/>
      <c r="L93" s="61"/>
      <c r="M93" s="61"/>
      <c r="N93" s="61"/>
      <c r="O93" s="61"/>
      <c r="P93" s="61"/>
      <c r="Q93" s="61"/>
      <c r="R93" s="61"/>
    </row>
    <row r="94" spans="1:18" ht="15.75" customHeight="1">
      <c r="E94" s="53"/>
      <c r="F94" s="53"/>
      <c r="G94" s="64"/>
      <c r="H94" s="64"/>
    </row>
    <row r="95" spans="1:18" ht="15.75" customHeight="1" thickBot="1">
      <c r="E95" s="53"/>
      <c r="F95" s="53"/>
      <c r="G95" s="64"/>
      <c r="H95" s="64"/>
    </row>
    <row r="96" spans="1:18" ht="15.75" customHeight="1">
      <c r="C96" s="235" t="s">
        <v>126</v>
      </c>
      <c r="D96" s="236"/>
      <c r="E96" s="65">
        <f t="shared" ref="E96:J96" si="0">COUNT(E13:E93)</f>
        <v>66</v>
      </c>
      <c r="F96" s="65">
        <f t="shared" si="0"/>
        <v>66</v>
      </c>
      <c r="G96" s="65">
        <f t="shared" si="0"/>
        <v>66</v>
      </c>
      <c r="H96" s="65">
        <f t="shared" si="0"/>
        <v>66</v>
      </c>
      <c r="I96" s="65">
        <f t="shared" si="0"/>
        <v>66</v>
      </c>
      <c r="J96" s="65">
        <f t="shared" si="0"/>
        <v>66</v>
      </c>
    </row>
    <row r="97" spans="3:10" ht="15.75" customHeight="1">
      <c r="C97" s="241" t="s">
        <v>141</v>
      </c>
      <c r="D97" s="167"/>
      <c r="E97" s="66">
        <f t="shared" ref="E97:J97" si="1">AVERAGE(E13:E93)</f>
        <v>2.8787878787878789</v>
      </c>
      <c r="F97" s="66">
        <f t="shared" si="1"/>
        <v>2.8333333333333335</v>
      </c>
      <c r="G97" s="66">
        <f t="shared" si="1"/>
        <v>2.8636363636363638</v>
      </c>
      <c r="H97" s="66">
        <f t="shared" si="1"/>
        <v>2.8484848484848486</v>
      </c>
      <c r="I97" s="66">
        <f t="shared" si="1"/>
        <v>2.8030303030303032</v>
      </c>
      <c r="J97" s="66">
        <f t="shared" si="1"/>
        <v>2.8030303030303032</v>
      </c>
    </row>
    <row r="98" spans="3:10" ht="15.75" customHeight="1">
      <c r="C98" s="230" t="s">
        <v>142</v>
      </c>
      <c r="D98" s="167"/>
      <c r="E98" s="72">
        <f t="shared" ref="E98:J98" si="2">((E97*100)/3)</f>
        <v>95.959595959595958</v>
      </c>
      <c r="F98" s="72">
        <f t="shared" si="2"/>
        <v>94.444444444444457</v>
      </c>
      <c r="G98" s="72">
        <f t="shared" si="2"/>
        <v>95.454545454545453</v>
      </c>
      <c r="H98" s="72">
        <f t="shared" si="2"/>
        <v>94.949494949494962</v>
      </c>
      <c r="I98" s="72">
        <f t="shared" si="2"/>
        <v>93.434343434343432</v>
      </c>
      <c r="J98" s="72">
        <f t="shared" si="2"/>
        <v>93.434343434343432</v>
      </c>
    </row>
    <row r="99" spans="3:10" ht="15.75" customHeight="1">
      <c r="C99" s="230" t="s">
        <v>143</v>
      </c>
      <c r="D99" s="182"/>
      <c r="E99" s="238">
        <f>AVERAGE(E98:F98:G98:H98:I98:J98)</f>
        <v>94.612794612794616</v>
      </c>
      <c r="F99" s="238"/>
      <c r="G99" s="238"/>
      <c r="H99" s="238"/>
      <c r="I99" s="238"/>
      <c r="J99" s="238"/>
    </row>
    <row r="100" spans="3:10" ht="15.75" customHeight="1">
      <c r="C100" s="230" t="s">
        <v>144</v>
      </c>
      <c r="D100" s="182"/>
      <c r="E100" s="239">
        <v>3</v>
      </c>
      <c r="F100" s="239"/>
      <c r="G100" s="239"/>
      <c r="H100" s="239"/>
      <c r="I100" s="239"/>
      <c r="J100" s="239"/>
    </row>
    <row r="101" spans="3:10" ht="15.75" customHeight="1">
      <c r="E101" s="53"/>
      <c r="F101" s="53"/>
      <c r="G101" s="53"/>
      <c r="H101" s="53"/>
    </row>
    <row r="102" spans="3:10" ht="15.75" customHeight="1">
      <c r="E102" s="53"/>
      <c r="F102" s="53"/>
      <c r="G102" s="53"/>
      <c r="H102" s="53"/>
    </row>
    <row r="103" spans="3:10" ht="15.75" customHeight="1">
      <c r="E103" s="53"/>
      <c r="F103" s="53"/>
      <c r="G103" s="53"/>
      <c r="H103" s="53"/>
    </row>
    <row r="104" spans="3:10" ht="15.75" customHeight="1">
      <c r="E104" s="53"/>
      <c r="F104" s="53"/>
      <c r="G104" s="53"/>
      <c r="H104" s="53"/>
    </row>
    <row r="105" spans="3:10" ht="15.75" customHeight="1">
      <c r="E105" s="53"/>
      <c r="F105" s="53"/>
      <c r="G105" s="53"/>
      <c r="H105" s="53"/>
    </row>
    <row r="106" spans="3:10" ht="15.75" customHeight="1">
      <c r="E106" s="53"/>
      <c r="F106" s="53"/>
      <c r="G106" s="53"/>
      <c r="H106" s="53"/>
    </row>
    <row r="107" spans="3:10" ht="15.75" customHeight="1">
      <c r="E107" s="53"/>
      <c r="F107" s="53"/>
      <c r="G107" s="53"/>
      <c r="H107" s="53"/>
    </row>
    <row r="108" spans="3:10" ht="15.75" customHeight="1">
      <c r="E108" s="53"/>
      <c r="F108" s="53"/>
      <c r="G108" s="53"/>
      <c r="H108" s="53"/>
    </row>
    <row r="109" spans="3:10" ht="15.75" customHeight="1">
      <c r="E109" s="53"/>
      <c r="F109" s="53"/>
      <c r="G109" s="53"/>
      <c r="H109" s="53"/>
    </row>
    <row r="110" spans="3:10" ht="15.75" customHeight="1">
      <c r="E110" s="53"/>
      <c r="F110" s="53"/>
      <c r="G110" s="53"/>
      <c r="H110" s="53"/>
    </row>
    <row r="111" spans="3:10" ht="15.75" customHeight="1">
      <c r="E111" s="53"/>
      <c r="F111" s="53"/>
      <c r="G111" s="53"/>
      <c r="H111" s="53"/>
    </row>
    <row r="112" spans="3:10" ht="15.75" customHeight="1">
      <c r="E112" s="53"/>
      <c r="F112" s="53"/>
      <c r="G112" s="53"/>
      <c r="H112" s="53"/>
    </row>
    <row r="113" spans="5:8" ht="15.75" customHeight="1">
      <c r="E113" s="53"/>
      <c r="F113" s="53"/>
      <c r="G113" s="53"/>
      <c r="H113" s="53"/>
    </row>
    <row r="114" spans="5:8" ht="15.75" customHeight="1">
      <c r="E114" s="53"/>
      <c r="F114" s="53"/>
      <c r="G114" s="53"/>
      <c r="H114" s="53"/>
    </row>
    <row r="115" spans="5:8" ht="15.75" customHeight="1">
      <c r="E115" s="53"/>
      <c r="F115" s="53"/>
      <c r="G115" s="53"/>
      <c r="H115" s="53"/>
    </row>
    <row r="116" spans="5:8" ht="15.75" customHeight="1">
      <c r="E116" s="53"/>
      <c r="F116" s="53"/>
      <c r="G116" s="53"/>
      <c r="H116" s="53"/>
    </row>
    <row r="117" spans="5:8" ht="15.75" customHeight="1">
      <c r="E117" s="53"/>
      <c r="F117" s="53"/>
      <c r="G117" s="53"/>
      <c r="H117" s="53"/>
    </row>
    <row r="118" spans="5:8" ht="15.75" customHeight="1">
      <c r="E118" s="53"/>
      <c r="F118" s="53"/>
      <c r="G118" s="53"/>
      <c r="H118" s="53"/>
    </row>
    <row r="119" spans="5:8" ht="15.75" customHeight="1">
      <c r="E119" s="53"/>
      <c r="F119" s="53"/>
      <c r="G119" s="53"/>
      <c r="H119" s="53"/>
    </row>
    <row r="120" spans="5:8" ht="15.75" customHeight="1">
      <c r="E120" s="53"/>
      <c r="F120" s="53"/>
      <c r="G120" s="53"/>
      <c r="H120" s="53"/>
    </row>
    <row r="121" spans="5:8" ht="15.75" customHeight="1">
      <c r="E121" s="53"/>
      <c r="F121" s="53"/>
      <c r="G121" s="53"/>
      <c r="H121" s="53"/>
    </row>
    <row r="122" spans="5:8" ht="15.75" customHeight="1">
      <c r="E122" s="53"/>
      <c r="F122" s="53"/>
      <c r="G122" s="53"/>
      <c r="H122" s="53"/>
    </row>
    <row r="123" spans="5:8" ht="15.75" customHeight="1">
      <c r="E123" s="53"/>
      <c r="F123" s="53"/>
      <c r="G123" s="53"/>
      <c r="H123" s="53"/>
    </row>
    <row r="124" spans="5:8" ht="15.75" customHeight="1">
      <c r="E124" s="53"/>
      <c r="F124" s="53"/>
      <c r="G124" s="53"/>
      <c r="H124" s="53"/>
    </row>
    <row r="125" spans="5:8" ht="15.75" customHeight="1">
      <c r="E125" s="53"/>
      <c r="F125" s="53"/>
      <c r="G125" s="53"/>
      <c r="H125" s="53"/>
    </row>
    <row r="126" spans="5:8" ht="15.75" customHeight="1">
      <c r="E126" s="53"/>
      <c r="F126" s="53"/>
      <c r="G126" s="53"/>
      <c r="H126" s="53"/>
    </row>
    <row r="127" spans="5:8" ht="15.75" customHeight="1">
      <c r="E127" s="53"/>
      <c r="F127" s="53"/>
      <c r="G127" s="53"/>
      <c r="H127" s="53"/>
    </row>
    <row r="128" spans="5:8" ht="15.75" customHeight="1">
      <c r="E128" s="53"/>
      <c r="F128" s="53"/>
      <c r="G128" s="53"/>
      <c r="H128" s="53"/>
    </row>
    <row r="129" spans="5:8" ht="15.75" customHeight="1">
      <c r="E129" s="53"/>
      <c r="F129" s="53"/>
      <c r="G129" s="53"/>
      <c r="H129" s="53"/>
    </row>
    <row r="130" spans="5:8" ht="15.75" customHeight="1">
      <c r="E130" s="53"/>
      <c r="F130" s="53"/>
      <c r="G130" s="53"/>
      <c r="H130" s="53"/>
    </row>
    <row r="131" spans="5:8" ht="15.75" customHeight="1">
      <c r="E131" s="53"/>
      <c r="F131" s="53"/>
      <c r="G131" s="53"/>
      <c r="H131" s="53"/>
    </row>
    <row r="132" spans="5:8" ht="15.75" customHeight="1">
      <c r="E132" s="53"/>
      <c r="F132" s="53"/>
      <c r="G132" s="53"/>
      <c r="H132" s="53"/>
    </row>
    <row r="133" spans="5:8" ht="15.75" customHeight="1">
      <c r="E133" s="53"/>
      <c r="F133" s="53"/>
      <c r="G133" s="53"/>
      <c r="H133" s="53"/>
    </row>
    <row r="134" spans="5:8" ht="15.75" customHeight="1">
      <c r="E134" s="53"/>
      <c r="F134" s="53"/>
      <c r="G134" s="53"/>
      <c r="H134" s="53"/>
    </row>
    <row r="135" spans="5:8" ht="15.75" customHeight="1">
      <c r="E135" s="53"/>
      <c r="F135" s="53"/>
      <c r="G135" s="53"/>
      <c r="H135" s="53"/>
    </row>
    <row r="136" spans="5:8" ht="15.75" customHeight="1">
      <c r="E136" s="53"/>
      <c r="F136" s="53"/>
      <c r="G136" s="53"/>
      <c r="H136" s="53"/>
    </row>
    <row r="137" spans="5:8" ht="15.75" customHeight="1">
      <c r="E137" s="53"/>
      <c r="F137" s="53"/>
      <c r="G137" s="53"/>
      <c r="H137" s="53"/>
    </row>
    <row r="138" spans="5:8" ht="15.75" customHeight="1">
      <c r="E138" s="53"/>
      <c r="F138" s="53"/>
      <c r="G138" s="53"/>
      <c r="H138" s="53"/>
    </row>
    <row r="139" spans="5:8" ht="15.75" customHeight="1">
      <c r="E139" s="53"/>
      <c r="F139" s="53"/>
      <c r="G139" s="53"/>
      <c r="H139" s="53"/>
    </row>
    <row r="140" spans="5:8" ht="15.75" customHeight="1">
      <c r="E140" s="53"/>
      <c r="F140" s="53"/>
      <c r="G140" s="53"/>
      <c r="H140" s="53"/>
    </row>
    <row r="141" spans="5:8" ht="15.75" customHeight="1">
      <c r="E141" s="53"/>
      <c r="F141" s="53"/>
      <c r="G141" s="53"/>
      <c r="H141" s="53"/>
    </row>
    <row r="142" spans="5:8" ht="15.75" customHeight="1">
      <c r="E142" s="53"/>
      <c r="F142" s="53"/>
      <c r="G142" s="53"/>
      <c r="H142" s="53"/>
    </row>
    <row r="143" spans="5:8" ht="15.75" customHeight="1">
      <c r="E143" s="53"/>
      <c r="F143" s="53"/>
      <c r="G143" s="53"/>
      <c r="H143" s="53"/>
    </row>
    <row r="144" spans="5:8" ht="15.75" customHeight="1">
      <c r="E144" s="53"/>
      <c r="F144" s="53"/>
      <c r="G144" s="53"/>
      <c r="H144" s="53"/>
    </row>
    <row r="145" spans="5:8" ht="15.75" customHeight="1">
      <c r="E145" s="53"/>
      <c r="F145" s="53"/>
      <c r="G145" s="53"/>
      <c r="H145" s="53"/>
    </row>
    <row r="146" spans="5:8" ht="15.75" customHeight="1">
      <c r="E146" s="53"/>
      <c r="F146" s="53"/>
      <c r="G146" s="53"/>
      <c r="H146" s="53"/>
    </row>
    <row r="147" spans="5:8" ht="15.75" customHeight="1">
      <c r="E147" s="53"/>
      <c r="F147" s="53"/>
      <c r="G147" s="53"/>
      <c r="H147" s="53"/>
    </row>
    <row r="148" spans="5:8" ht="15.75" customHeight="1">
      <c r="E148" s="53"/>
      <c r="F148" s="53"/>
      <c r="G148" s="53"/>
      <c r="H148" s="53"/>
    </row>
    <row r="149" spans="5:8" ht="15.75" customHeight="1">
      <c r="E149" s="53"/>
      <c r="F149" s="53"/>
      <c r="G149" s="53"/>
      <c r="H149" s="53"/>
    </row>
    <row r="150" spans="5:8" ht="15.75" customHeight="1">
      <c r="E150" s="53"/>
      <c r="F150" s="53"/>
      <c r="G150" s="53"/>
      <c r="H150" s="53"/>
    </row>
    <row r="151" spans="5:8" ht="15.75" customHeight="1">
      <c r="E151" s="53"/>
      <c r="F151" s="53"/>
      <c r="G151" s="53"/>
      <c r="H151" s="53"/>
    </row>
    <row r="152" spans="5:8" ht="15.75" customHeight="1">
      <c r="E152" s="53"/>
      <c r="F152" s="53"/>
      <c r="G152" s="53"/>
      <c r="H152" s="53"/>
    </row>
    <row r="153" spans="5:8" ht="15.75" customHeight="1">
      <c r="E153" s="53"/>
      <c r="F153" s="53"/>
      <c r="G153" s="53"/>
      <c r="H153" s="53"/>
    </row>
    <row r="154" spans="5:8" ht="15.75" customHeight="1">
      <c r="E154" s="53"/>
      <c r="F154" s="53"/>
      <c r="G154" s="53"/>
      <c r="H154" s="53"/>
    </row>
    <row r="155" spans="5:8" ht="15.75" customHeight="1">
      <c r="E155" s="53"/>
      <c r="F155" s="53"/>
      <c r="G155" s="53"/>
      <c r="H155" s="53"/>
    </row>
    <row r="156" spans="5:8" ht="15.75" customHeight="1">
      <c r="E156" s="53"/>
      <c r="F156" s="53"/>
      <c r="G156" s="53"/>
      <c r="H156" s="53"/>
    </row>
    <row r="157" spans="5:8" ht="15.75" customHeight="1">
      <c r="E157" s="53"/>
      <c r="F157" s="53"/>
      <c r="G157" s="53"/>
      <c r="H157" s="53"/>
    </row>
    <row r="158" spans="5:8" ht="15.75" customHeight="1">
      <c r="E158" s="53"/>
      <c r="F158" s="53"/>
      <c r="G158" s="53"/>
      <c r="H158" s="53"/>
    </row>
    <row r="159" spans="5:8" ht="15.75" customHeight="1">
      <c r="E159" s="53"/>
      <c r="F159" s="53"/>
      <c r="G159" s="53"/>
      <c r="H159" s="53"/>
    </row>
    <row r="160" spans="5:8" ht="15.75" customHeight="1">
      <c r="E160" s="53"/>
      <c r="F160" s="53"/>
      <c r="G160" s="53"/>
      <c r="H160" s="53"/>
    </row>
    <row r="161" spans="5:8" ht="15.75" customHeight="1">
      <c r="E161" s="53"/>
      <c r="F161" s="53"/>
      <c r="G161" s="53"/>
      <c r="H161" s="53"/>
    </row>
    <row r="162" spans="5:8" ht="15.75" customHeight="1">
      <c r="E162" s="53"/>
      <c r="F162" s="53"/>
      <c r="G162" s="53"/>
      <c r="H162" s="53"/>
    </row>
    <row r="163" spans="5:8" ht="15.75" customHeight="1">
      <c r="E163" s="53"/>
      <c r="F163" s="53"/>
      <c r="G163" s="53"/>
      <c r="H163" s="53"/>
    </row>
    <row r="164" spans="5:8" ht="15.75" customHeight="1">
      <c r="E164" s="53"/>
      <c r="F164" s="53"/>
      <c r="G164" s="53"/>
      <c r="H164" s="53"/>
    </row>
    <row r="165" spans="5:8" ht="15.75" customHeight="1">
      <c r="E165" s="53"/>
      <c r="F165" s="53"/>
      <c r="G165" s="53"/>
      <c r="H165" s="53"/>
    </row>
    <row r="166" spans="5:8" ht="15.75" customHeight="1">
      <c r="E166" s="53"/>
      <c r="F166" s="53"/>
      <c r="G166" s="53"/>
      <c r="H166" s="53"/>
    </row>
    <row r="167" spans="5:8" ht="15.75" customHeight="1">
      <c r="E167" s="53"/>
      <c r="F167" s="53"/>
      <c r="G167" s="53"/>
      <c r="H167" s="53"/>
    </row>
    <row r="168" spans="5:8" ht="15.75" customHeight="1">
      <c r="E168" s="53"/>
      <c r="F168" s="53"/>
      <c r="G168" s="53"/>
      <c r="H168" s="53"/>
    </row>
    <row r="169" spans="5:8" ht="15.75" customHeight="1">
      <c r="E169" s="53"/>
      <c r="F169" s="53"/>
      <c r="G169" s="53"/>
      <c r="H169" s="53"/>
    </row>
    <row r="170" spans="5:8" ht="15.75" customHeight="1">
      <c r="E170" s="53"/>
      <c r="F170" s="53"/>
      <c r="G170" s="53"/>
      <c r="H170" s="53"/>
    </row>
    <row r="171" spans="5:8" ht="15.75" customHeight="1">
      <c r="E171" s="53"/>
      <c r="F171" s="53"/>
      <c r="G171" s="53"/>
      <c r="H171" s="53"/>
    </row>
    <row r="172" spans="5:8" ht="15.75" customHeight="1">
      <c r="E172" s="53"/>
      <c r="F172" s="53"/>
      <c r="G172" s="53"/>
      <c r="H172" s="53"/>
    </row>
    <row r="173" spans="5:8" ht="15.75" customHeight="1">
      <c r="E173" s="53"/>
      <c r="F173" s="53"/>
      <c r="G173" s="53"/>
      <c r="H173" s="53"/>
    </row>
    <row r="174" spans="5:8" ht="15.75" customHeight="1">
      <c r="E174" s="53"/>
      <c r="F174" s="53"/>
      <c r="G174" s="53"/>
      <c r="H174" s="53"/>
    </row>
    <row r="175" spans="5:8" ht="15.75" customHeight="1">
      <c r="E175" s="53"/>
      <c r="F175" s="53"/>
      <c r="G175" s="53"/>
      <c r="H175" s="53"/>
    </row>
    <row r="176" spans="5:8" ht="15.75" customHeight="1">
      <c r="E176" s="53"/>
      <c r="F176" s="53"/>
      <c r="G176" s="53"/>
      <c r="H176" s="53"/>
    </row>
    <row r="177" spans="5:8" ht="15.75" customHeight="1">
      <c r="E177" s="53"/>
      <c r="F177" s="53"/>
      <c r="G177" s="53"/>
      <c r="H177" s="53"/>
    </row>
    <row r="178" spans="5:8" ht="15.75" customHeight="1">
      <c r="E178" s="53"/>
      <c r="F178" s="53"/>
      <c r="G178" s="53"/>
      <c r="H178" s="53"/>
    </row>
    <row r="179" spans="5:8" ht="15.75" customHeight="1">
      <c r="E179" s="53"/>
      <c r="F179" s="53"/>
      <c r="G179" s="53"/>
      <c r="H179" s="53"/>
    </row>
    <row r="180" spans="5:8" ht="15.75" customHeight="1">
      <c r="E180" s="53"/>
      <c r="F180" s="53"/>
      <c r="G180" s="53"/>
      <c r="H180" s="53"/>
    </row>
    <row r="181" spans="5:8" ht="15.75" customHeight="1">
      <c r="E181" s="53"/>
      <c r="F181" s="53"/>
      <c r="G181" s="53"/>
      <c r="H181" s="53"/>
    </row>
    <row r="182" spans="5:8" ht="15.75" customHeight="1">
      <c r="E182" s="53"/>
      <c r="F182" s="53"/>
      <c r="G182" s="53"/>
      <c r="H182" s="53"/>
    </row>
    <row r="183" spans="5:8" ht="15.75" customHeight="1">
      <c r="E183" s="53"/>
      <c r="F183" s="53"/>
      <c r="G183" s="53"/>
      <c r="H183" s="53"/>
    </row>
    <row r="184" spans="5:8" ht="15.75" customHeight="1">
      <c r="E184" s="53"/>
      <c r="F184" s="53"/>
      <c r="G184" s="53"/>
      <c r="H184" s="53"/>
    </row>
    <row r="185" spans="5:8" ht="15.75" customHeight="1">
      <c r="E185" s="53"/>
      <c r="F185" s="53"/>
      <c r="G185" s="53"/>
      <c r="H185" s="53"/>
    </row>
    <row r="186" spans="5:8" ht="15.75" customHeight="1">
      <c r="E186" s="53"/>
      <c r="F186" s="53"/>
      <c r="G186" s="53"/>
      <c r="H186" s="53"/>
    </row>
    <row r="187" spans="5:8" ht="15.75" customHeight="1">
      <c r="E187" s="53"/>
      <c r="F187" s="53"/>
      <c r="G187" s="53"/>
      <c r="H187" s="53"/>
    </row>
    <row r="188" spans="5:8" ht="15.75" customHeight="1">
      <c r="E188" s="53"/>
      <c r="F188" s="53"/>
      <c r="G188" s="53"/>
      <c r="H188" s="53"/>
    </row>
    <row r="189" spans="5:8" ht="15.75" customHeight="1">
      <c r="E189" s="53"/>
      <c r="F189" s="53"/>
      <c r="G189" s="53"/>
      <c r="H189" s="53"/>
    </row>
    <row r="190" spans="5:8" ht="15.75" customHeight="1">
      <c r="E190" s="53"/>
      <c r="F190" s="53"/>
      <c r="G190" s="53"/>
      <c r="H190" s="53"/>
    </row>
    <row r="191" spans="5:8" ht="15.75" customHeight="1">
      <c r="E191" s="53"/>
      <c r="F191" s="53"/>
      <c r="G191" s="53"/>
      <c r="H191" s="53"/>
    </row>
    <row r="192" spans="5:8" ht="15.75" customHeight="1">
      <c r="E192" s="53"/>
      <c r="F192" s="53"/>
      <c r="G192" s="53"/>
      <c r="H192" s="53"/>
    </row>
    <row r="193" spans="5:8" ht="15.75" customHeight="1">
      <c r="E193" s="53"/>
      <c r="F193" s="53"/>
      <c r="G193" s="53"/>
      <c r="H193" s="53"/>
    </row>
    <row r="194" spans="5:8" ht="15.75" customHeight="1">
      <c r="E194" s="53"/>
      <c r="F194" s="53"/>
      <c r="G194" s="53"/>
      <c r="H194" s="53"/>
    </row>
    <row r="195" spans="5:8" ht="15.75" customHeight="1">
      <c r="E195" s="53"/>
      <c r="F195" s="53"/>
      <c r="G195" s="53"/>
      <c r="H195" s="53"/>
    </row>
    <row r="196" spans="5:8" ht="15.75" customHeight="1">
      <c r="E196" s="53"/>
      <c r="F196" s="53"/>
      <c r="G196" s="53"/>
      <c r="H196" s="53"/>
    </row>
    <row r="197" spans="5:8" ht="15.75" customHeight="1">
      <c r="E197" s="53"/>
      <c r="F197" s="53"/>
      <c r="G197" s="53"/>
      <c r="H197" s="53"/>
    </row>
    <row r="198" spans="5:8" ht="15.75" customHeight="1">
      <c r="E198" s="53"/>
      <c r="F198" s="53"/>
      <c r="G198" s="53"/>
      <c r="H198" s="53"/>
    </row>
    <row r="199" spans="5:8" ht="15.75" customHeight="1">
      <c r="E199" s="53"/>
      <c r="F199" s="53"/>
      <c r="G199" s="53"/>
      <c r="H199" s="53"/>
    </row>
    <row r="200" spans="5:8" ht="15.75" customHeight="1">
      <c r="E200" s="53"/>
      <c r="F200" s="53"/>
      <c r="G200" s="53"/>
      <c r="H200" s="53"/>
    </row>
    <row r="201" spans="5:8" ht="15.75" customHeight="1">
      <c r="E201" s="53"/>
      <c r="F201" s="53"/>
      <c r="G201" s="53"/>
      <c r="H201" s="53"/>
    </row>
    <row r="202" spans="5:8" ht="15.75" customHeight="1">
      <c r="E202" s="53"/>
      <c r="F202" s="53"/>
      <c r="G202" s="53"/>
      <c r="H202" s="53"/>
    </row>
    <row r="203" spans="5:8" ht="15.75" customHeight="1">
      <c r="E203" s="53"/>
      <c r="F203" s="53"/>
      <c r="G203" s="53"/>
      <c r="H203" s="53"/>
    </row>
    <row r="204" spans="5:8" ht="15.75" customHeight="1">
      <c r="E204" s="53"/>
      <c r="F204" s="53"/>
      <c r="G204" s="53"/>
      <c r="H204" s="53"/>
    </row>
    <row r="205" spans="5:8" ht="15.75" customHeight="1">
      <c r="E205" s="53"/>
      <c r="F205" s="53"/>
      <c r="G205" s="53"/>
      <c r="H205" s="53"/>
    </row>
    <row r="206" spans="5:8" ht="15.75" customHeight="1">
      <c r="E206" s="53"/>
      <c r="F206" s="53"/>
      <c r="G206" s="53"/>
      <c r="H206" s="53"/>
    </row>
    <row r="207" spans="5:8" ht="15.75" customHeight="1">
      <c r="E207" s="53"/>
      <c r="F207" s="53"/>
      <c r="G207" s="53"/>
      <c r="H207" s="53"/>
    </row>
    <row r="208" spans="5:8" ht="15.75" customHeight="1">
      <c r="E208" s="53"/>
      <c r="F208" s="53"/>
      <c r="G208" s="53"/>
      <c r="H208" s="53"/>
    </row>
    <row r="209" spans="5:8" ht="15.75" customHeight="1">
      <c r="E209" s="53"/>
      <c r="F209" s="53"/>
      <c r="G209" s="53"/>
      <c r="H209" s="53"/>
    </row>
    <row r="210" spans="5:8" ht="15.75" customHeight="1">
      <c r="E210" s="53"/>
      <c r="F210" s="53"/>
      <c r="G210" s="53"/>
      <c r="H210" s="53"/>
    </row>
    <row r="211" spans="5:8" ht="15.75" customHeight="1">
      <c r="E211" s="53"/>
      <c r="F211" s="53"/>
      <c r="G211" s="53"/>
      <c r="H211" s="53"/>
    </row>
    <row r="212" spans="5:8" ht="15.75" customHeight="1">
      <c r="E212" s="53"/>
      <c r="F212" s="53"/>
      <c r="G212" s="53"/>
      <c r="H212" s="53"/>
    </row>
    <row r="213" spans="5:8" ht="15.75" customHeight="1">
      <c r="E213" s="53"/>
      <c r="F213" s="53"/>
      <c r="G213" s="53"/>
      <c r="H213" s="53"/>
    </row>
    <row r="214" spans="5:8" ht="15.75" customHeight="1">
      <c r="E214" s="53"/>
      <c r="F214" s="53"/>
      <c r="G214" s="53"/>
      <c r="H214" s="53"/>
    </row>
    <row r="215" spans="5:8" ht="15.75" customHeight="1">
      <c r="E215" s="53"/>
      <c r="F215" s="53"/>
      <c r="G215" s="53"/>
      <c r="H215" s="53"/>
    </row>
    <row r="216" spans="5:8" ht="15.75" customHeight="1">
      <c r="E216" s="53"/>
      <c r="F216" s="53"/>
      <c r="G216" s="53"/>
      <c r="H216" s="53"/>
    </row>
    <row r="217" spans="5:8" ht="15.75" customHeight="1">
      <c r="E217" s="53"/>
      <c r="F217" s="53"/>
      <c r="G217" s="53"/>
      <c r="H217" s="53"/>
    </row>
    <row r="218" spans="5:8" ht="15.75" customHeight="1">
      <c r="E218" s="53"/>
      <c r="F218" s="53"/>
      <c r="G218" s="53"/>
      <c r="H218" s="53"/>
    </row>
    <row r="219" spans="5:8" ht="15.75" customHeight="1">
      <c r="E219" s="53"/>
      <c r="F219" s="53"/>
      <c r="G219" s="53"/>
      <c r="H219" s="53"/>
    </row>
    <row r="220" spans="5:8" ht="15.75" customHeight="1">
      <c r="E220" s="53"/>
      <c r="F220" s="53"/>
      <c r="G220" s="53"/>
      <c r="H220" s="53"/>
    </row>
    <row r="221" spans="5:8" ht="15.75" customHeight="1">
      <c r="E221" s="53"/>
      <c r="F221" s="53"/>
      <c r="G221" s="53"/>
      <c r="H221" s="53"/>
    </row>
    <row r="222" spans="5:8" ht="15.75" customHeight="1">
      <c r="E222" s="53"/>
      <c r="F222" s="53"/>
      <c r="G222" s="53"/>
      <c r="H222" s="53"/>
    </row>
    <row r="223" spans="5:8" ht="15.75" customHeight="1">
      <c r="E223" s="53"/>
      <c r="F223" s="53"/>
      <c r="G223" s="53"/>
      <c r="H223" s="53"/>
    </row>
    <row r="224" spans="5:8" ht="15.75" customHeight="1">
      <c r="E224" s="53"/>
      <c r="F224" s="53"/>
      <c r="G224" s="53"/>
      <c r="H224" s="53"/>
    </row>
    <row r="225" spans="5:8" ht="15.75" customHeight="1">
      <c r="E225" s="53"/>
      <c r="F225" s="53"/>
      <c r="G225" s="53"/>
      <c r="H225" s="53"/>
    </row>
    <row r="226" spans="5:8" ht="15.75" customHeight="1">
      <c r="E226" s="53"/>
      <c r="F226" s="53"/>
      <c r="G226" s="53"/>
      <c r="H226" s="53"/>
    </row>
    <row r="227" spans="5:8" ht="15.75" customHeight="1">
      <c r="E227" s="53"/>
      <c r="F227" s="53"/>
      <c r="G227" s="53"/>
      <c r="H227" s="53"/>
    </row>
    <row r="228" spans="5:8" ht="15.75" customHeight="1">
      <c r="E228" s="53"/>
      <c r="F228" s="53"/>
      <c r="G228" s="53"/>
      <c r="H228" s="53"/>
    </row>
    <row r="229" spans="5:8" ht="15.75" customHeight="1">
      <c r="E229" s="53"/>
      <c r="F229" s="53"/>
      <c r="G229" s="53"/>
      <c r="H229" s="53"/>
    </row>
    <row r="230" spans="5:8" ht="15.75" customHeight="1">
      <c r="E230" s="53"/>
      <c r="F230" s="53"/>
      <c r="G230" s="53"/>
      <c r="H230" s="53"/>
    </row>
    <row r="231" spans="5:8" ht="15.75" customHeight="1">
      <c r="E231" s="53"/>
      <c r="F231" s="53"/>
      <c r="G231" s="53"/>
      <c r="H231" s="53"/>
    </row>
    <row r="232" spans="5:8" ht="15.75" customHeight="1">
      <c r="E232" s="53"/>
      <c r="F232" s="53"/>
      <c r="G232" s="53"/>
      <c r="H232" s="53"/>
    </row>
    <row r="233" spans="5:8" ht="15.75" customHeight="1">
      <c r="E233" s="53"/>
      <c r="F233" s="53"/>
      <c r="G233" s="53"/>
      <c r="H233" s="53"/>
    </row>
    <row r="234" spans="5:8" ht="15.75" customHeight="1">
      <c r="E234" s="53"/>
      <c r="F234" s="53"/>
      <c r="G234" s="53"/>
      <c r="H234" s="53"/>
    </row>
    <row r="235" spans="5:8" ht="15.75" customHeight="1">
      <c r="E235" s="53"/>
      <c r="F235" s="53"/>
      <c r="G235" s="53"/>
      <c r="H235" s="53"/>
    </row>
    <row r="236" spans="5:8" ht="15.75" customHeight="1">
      <c r="E236" s="53"/>
      <c r="F236" s="53"/>
      <c r="G236" s="53"/>
      <c r="H236" s="53"/>
    </row>
    <row r="237" spans="5:8" ht="15.75" customHeight="1">
      <c r="E237" s="53"/>
      <c r="F237" s="53"/>
      <c r="G237" s="53"/>
      <c r="H237" s="53"/>
    </row>
    <row r="238" spans="5:8" ht="15.75" customHeight="1">
      <c r="E238" s="53"/>
      <c r="F238" s="53"/>
      <c r="G238" s="53"/>
      <c r="H238" s="53"/>
    </row>
    <row r="239" spans="5:8" ht="15.75" customHeight="1">
      <c r="E239" s="53"/>
      <c r="F239" s="53"/>
      <c r="G239" s="53"/>
      <c r="H239" s="53"/>
    </row>
    <row r="240" spans="5:8" ht="15.75" customHeight="1">
      <c r="E240" s="53"/>
      <c r="F240" s="53"/>
      <c r="G240" s="53"/>
      <c r="H240" s="53"/>
    </row>
    <row r="241" spans="5:8" ht="15.75" customHeight="1">
      <c r="E241" s="53"/>
      <c r="F241" s="53"/>
      <c r="G241" s="53"/>
      <c r="H241" s="53"/>
    </row>
    <row r="242" spans="5:8" ht="15.75" customHeight="1">
      <c r="E242" s="53"/>
      <c r="F242" s="53"/>
      <c r="G242" s="53"/>
      <c r="H242" s="53"/>
    </row>
    <row r="243" spans="5:8" ht="15.75" customHeight="1">
      <c r="E243" s="53"/>
      <c r="F243" s="53"/>
      <c r="G243" s="53"/>
      <c r="H243" s="53"/>
    </row>
    <row r="244" spans="5:8" ht="15.75" customHeight="1">
      <c r="E244" s="53"/>
      <c r="F244" s="53"/>
      <c r="G244" s="53"/>
      <c r="H244" s="53"/>
    </row>
    <row r="245" spans="5:8" ht="15.75" customHeight="1">
      <c r="E245" s="53"/>
      <c r="F245" s="53"/>
      <c r="G245" s="53"/>
      <c r="H245" s="53"/>
    </row>
    <row r="246" spans="5:8" ht="15.75" customHeight="1">
      <c r="E246" s="53"/>
      <c r="F246" s="53"/>
      <c r="G246" s="53"/>
      <c r="H246" s="53"/>
    </row>
    <row r="247" spans="5:8" ht="15.75" customHeight="1">
      <c r="E247" s="53"/>
      <c r="F247" s="53"/>
      <c r="G247" s="53"/>
      <c r="H247" s="53"/>
    </row>
    <row r="248" spans="5:8" ht="15.75" customHeight="1">
      <c r="E248" s="53"/>
      <c r="F248" s="53"/>
      <c r="G248" s="53"/>
      <c r="H248" s="53"/>
    </row>
    <row r="249" spans="5:8" ht="15.75" customHeight="1">
      <c r="E249" s="53"/>
      <c r="F249" s="53"/>
      <c r="G249" s="53"/>
      <c r="H249" s="53"/>
    </row>
    <row r="250" spans="5:8" ht="15.75" customHeight="1">
      <c r="E250" s="53"/>
      <c r="F250" s="53"/>
      <c r="G250" s="53"/>
      <c r="H250" s="53"/>
    </row>
    <row r="251" spans="5:8" ht="15.75" customHeight="1">
      <c r="E251" s="53"/>
      <c r="F251" s="53"/>
      <c r="G251" s="53"/>
      <c r="H251" s="53"/>
    </row>
    <row r="252" spans="5:8" ht="15.75" customHeight="1">
      <c r="E252" s="53"/>
      <c r="F252" s="53"/>
      <c r="G252" s="53"/>
      <c r="H252" s="53"/>
    </row>
    <row r="253" spans="5:8" ht="15.75" customHeight="1">
      <c r="E253" s="53"/>
      <c r="F253" s="53"/>
      <c r="G253" s="53"/>
      <c r="H253" s="53"/>
    </row>
    <row r="254" spans="5:8" ht="15.75" customHeight="1">
      <c r="E254" s="53"/>
      <c r="F254" s="53"/>
      <c r="G254" s="53"/>
      <c r="H254" s="53"/>
    </row>
    <row r="255" spans="5:8" ht="15.75" customHeight="1">
      <c r="E255" s="53"/>
      <c r="F255" s="53"/>
      <c r="G255" s="53"/>
      <c r="H255" s="53"/>
    </row>
    <row r="256" spans="5:8" ht="15.75" customHeight="1">
      <c r="E256" s="53"/>
      <c r="F256" s="53"/>
      <c r="G256" s="53"/>
      <c r="H256" s="53"/>
    </row>
    <row r="257" spans="5:8" ht="15.75" customHeight="1">
      <c r="E257" s="53"/>
      <c r="F257" s="53"/>
      <c r="G257" s="53"/>
      <c r="H257" s="53"/>
    </row>
    <row r="258" spans="5:8" ht="15.75" customHeight="1">
      <c r="E258" s="53"/>
      <c r="F258" s="53"/>
      <c r="G258" s="53"/>
      <c r="H258" s="53"/>
    </row>
    <row r="259" spans="5:8" ht="15.75" customHeight="1">
      <c r="E259" s="53"/>
      <c r="F259" s="53"/>
      <c r="G259" s="53"/>
      <c r="H259" s="53"/>
    </row>
    <row r="260" spans="5:8" ht="15.75" customHeight="1">
      <c r="E260" s="53"/>
      <c r="F260" s="53"/>
      <c r="G260" s="53"/>
      <c r="H260" s="53"/>
    </row>
    <row r="261" spans="5:8" ht="15.75" customHeight="1">
      <c r="E261" s="53"/>
      <c r="F261" s="53"/>
      <c r="G261" s="53"/>
      <c r="H261" s="53"/>
    </row>
    <row r="262" spans="5:8" ht="15.75" customHeight="1">
      <c r="E262" s="53"/>
      <c r="F262" s="53"/>
      <c r="G262" s="53"/>
      <c r="H262" s="53"/>
    </row>
    <row r="263" spans="5:8" ht="15.75" customHeight="1">
      <c r="E263" s="53"/>
      <c r="F263" s="53"/>
      <c r="G263" s="53"/>
      <c r="H263" s="53"/>
    </row>
    <row r="264" spans="5:8" ht="15.75" customHeight="1">
      <c r="E264" s="53"/>
      <c r="F264" s="53"/>
      <c r="G264" s="53"/>
      <c r="H264" s="53"/>
    </row>
    <row r="265" spans="5:8" ht="15.75" customHeight="1">
      <c r="E265" s="53"/>
      <c r="F265" s="53"/>
      <c r="G265" s="53"/>
      <c r="H265" s="53"/>
    </row>
    <row r="266" spans="5:8" ht="15.75" customHeight="1">
      <c r="E266" s="53"/>
      <c r="F266" s="53"/>
      <c r="G266" s="53"/>
      <c r="H266" s="53"/>
    </row>
    <row r="267" spans="5:8" ht="15.75" customHeight="1">
      <c r="E267" s="53"/>
      <c r="F267" s="53"/>
      <c r="G267" s="53"/>
      <c r="H267" s="53"/>
    </row>
    <row r="268" spans="5:8" ht="15.75" customHeight="1">
      <c r="E268" s="53"/>
      <c r="F268" s="53"/>
      <c r="G268" s="53"/>
      <c r="H268" s="53"/>
    </row>
    <row r="269" spans="5:8" ht="15.75" customHeight="1">
      <c r="E269" s="53"/>
      <c r="F269" s="53"/>
      <c r="G269" s="53"/>
      <c r="H269" s="53"/>
    </row>
    <row r="270" spans="5:8" ht="15.75" customHeight="1">
      <c r="E270" s="53"/>
      <c r="F270" s="53"/>
      <c r="G270" s="53"/>
      <c r="H270" s="53"/>
    </row>
    <row r="271" spans="5:8" ht="15.75" customHeight="1">
      <c r="E271" s="53"/>
      <c r="F271" s="53"/>
      <c r="G271" s="53"/>
      <c r="H271" s="53"/>
    </row>
    <row r="272" spans="5:8" ht="15.75" customHeight="1">
      <c r="E272" s="53"/>
      <c r="F272" s="53"/>
      <c r="G272" s="53"/>
      <c r="H272" s="53"/>
    </row>
    <row r="273" spans="5:8" ht="15.75" customHeight="1">
      <c r="E273" s="53"/>
      <c r="F273" s="53"/>
      <c r="G273" s="53"/>
      <c r="H273" s="53"/>
    </row>
    <row r="274" spans="5:8" ht="15.75" customHeight="1">
      <c r="E274" s="53"/>
      <c r="F274" s="53"/>
      <c r="G274" s="53"/>
      <c r="H274" s="53"/>
    </row>
    <row r="275" spans="5:8" ht="15.75" customHeight="1">
      <c r="E275" s="53"/>
      <c r="F275" s="53"/>
      <c r="G275" s="53"/>
      <c r="H275" s="53"/>
    </row>
    <row r="276" spans="5:8" ht="15.75" customHeight="1">
      <c r="E276" s="53"/>
      <c r="F276" s="53"/>
      <c r="G276" s="53"/>
      <c r="H276" s="53"/>
    </row>
    <row r="277" spans="5:8" ht="15.75" customHeight="1">
      <c r="E277" s="53"/>
      <c r="F277" s="53"/>
      <c r="G277" s="53"/>
      <c r="H277" s="53"/>
    </row>
    <row r="278" spans="5:8" ht="15.75" customHeight="1">
      <c r="E278" s="53"/>
      <c r="F278" s="53"/>
      <c r="G278" s="53"/>
      <c r="H278" s="53"/>
    </row>
    <row r="279" spans="5:8" ht="15.75" customHeight="1">
      <c r="E279" s="53"/>
      <c r="F279" s="53"/>
      <c r="G279" s="53"/>
      <c r="H279" s="53"/>
    </row>
    <row r="280" spans="5:8" ht="15.75" customHeight="1">
      <c r="E280" s="53"/>
      <c r="F280" s="53"/>
      <c r="G280" s="53"/>
      <c r="H280" s="53"/>
    </row>
    <row r="281" spans="5:8" ht="15.75" customHeight="1">
      <c r="E281" s="53"/>
      <c r="F281" s="53"/>
      <c r="G281" s="53"/>
      <c r="H281" s="53"/>
    </row>
    <row r="282" spans="5:8" ht="15.75" customHeight="1">
      <c r="E282" s="53"/>
      <c r="F282" s="53"/>
      <c r="G282" s="53"/>
      <c r="H282" s="53"/>
    </row>
    <row r="283" spans="5:8" ht="15.75" customHeight="1">
      <c r="E283" s="53"/>
      <c r="F283" s="53"/>
      <c r="G283" s="53"/>
      <c r="H283" s="53"/>
    </row>
    <row r="284" spans="5:8" ht="15.75" customHeight="1">
      <c r="E284" s="53"/>
      <c r="F284" s="53"/>
      <c r="G284" s="53"/>
      <c r="H284" s="53"/>
    </row>
    <row r="285" spans="5:8" ht="15.75" customHeight="1">
      <c r="E285" s="53"/>
      <c r="F285" s="53"/>
      <c r="G285" s="53"/>
      <c r="H285" s="53"/>
    </row>
    <row r="286" spans="5:8" ht="15.75" customHeight="1">
      <c r="E286" s="53"/>
      <c r="F286" s="53"/>
      <c r="G286" s="53"/>
      <c r="H286" s="53"/>
    </row>
    <row r="287" spans="5:8" ht="15.75" customHeight="1">
      <c r="E287" s="53"/>
      <c r="F287" s="53"/>
      <c r="G287" s="53"/>
      <c r="H287" s="53"/>
    </row>
    <row r="288" spans="5:8" ht="15.75" customHeight="1">
      <c r="E288" s="53"/>
      <c r="F288" s="53"/>
      <c r="G288" s="53"/>
      <c r="H288" s="53"/>
    </row>
    <row r="289" spans="5:8" ht="15.75" customHeight="1">
      <c r="E289" s="53"/>
      <c r="F289" s="53"/>
      <c r="G289" s="53"/>
      <c r="H289" s="53"/>
    </row>
    <row r="290" spans="5:8" ht="15.75" customHeight="1">
      <c r="E290" s="53"/>
      <c r="F290" s="53"/>
      <c r="G290" s="53"/>
      <c r="H290" s="53"/>
    </row>
    <row r="291" spans="5:8" ht="15.75" customHeight="1">
      <c r="E291" s="53"/>
      <c r="F291" s="53"/>
      <c r="G291" s="53"/>
      <c r="H291" s="53"/>
    </row>
    <row r="292" spans="5:8" ht="15.75" customHeight="1">
      <c r="E292" s="53"/>
      <c r="F292" s="53"/>
      <c r="G292" s="53"/>
      <c r="H292" s="53"/>
    </row>
    <row r="293" spans="5:8" ht="15.75" customHeight="1">
      <c r="E293" s="53"/>
      <c r="F293" s="53"/>
      <c r="G293" s="53"/>
      <c r="H293" s="53"/>
    </row>
    <row r="294" spans="5:8" ht="15.75" customHeight="1">
      <c r="E294" s="53"/>
      <c r="F294" s="53"/>
      <c r="G294" s="53"/>
      <c r="H294" s="53"/>
    </row>
    <row r="295" spans="5:8" ht="15.75" customHeight="1">
      <c r="E295" s="53"/>
      <c r="F295" s="53"/>
      <c r="G295" s="53"/>
      <c r="H295" s="53"/>
    </row>
    <row r="296" spans="5:8" ht="15.75" customHeight="1">
      <c r="E296" s="53"/>
      <c r="F296" s="53"/>
      <c r="G296" s="53"/>
      <c r="H296" s="53"/>
    </row>
    <row r="297" spans="5:8" ht="15.75" customHeight="1">
      <c r="E297" s="53"/>
      <c r="F297" s="53"/>
      <c r="G297" s="53"/>
      <c r="H297" s="53"/>
    </row>
    <row r="298" spans="5:8" ht="15.75" customHeight="1">
      <c r="E298" s="53"/>
      <c r="F298" s="53"/>
      <c r="G298" s="53"/>
      <c r="H298" s="53"/>
    </row>
    <row r="299" spans="5:8" ht="15.75" customHeight="1">
      <c r="E299" s="53"/>
      <c r="F299" s="53"/>
      <c r="G299" s="53"/>
      <c r="H299" s="53"/>
    </row>
    <row r="300" spans="5:8" ht="15.75" customHeight="1">
      <c r="E300" s="53"/>
      <c r="F300" s="53"/>
      <c r="G300" s="53"/>
      <c r="H300" s="53"/>
    </row>
    <row r="301" spans="5:8" ht="15.75" customHeight="1"/>
    <row r="302" spans="5:8" ht="15.75" customHeight="1"/>
    <row r="303" spans="5:8" ht="15.75" customHeight="1"/>
    <row r="304" spans="5:8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F6:G6"/>
    <mergeCell ref="E99:J99"/>
    <mergeCell ref="E100:J100"/>
    <mergeCell ref="C2:G2"/>
    <mergeCell ref="D4:E4"/>
    <mergeCell ref="F4:G4"/>
    <mergeCell ref="D5:E5"/>
    <mergeCell ref="F5:G5"/>
    <mergeCell ref="C97:D97"/>
    <mergeCell ref="C98:D98"/>
    <mergeCell ref="C99:D99"/>
    <mergeCell ref="C100:D100"/>
    <mergeCell ref="C8:G8"/>
    <mergeCell ref="B10:B12"/>
    <mergeCell ref="C10:C12"/>
    <mergeCell ref="D10:D12"/>
    <mergeCell ref="C96:D96"/>
    <mergeCell ref="D6:E6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N18"/>
  <sheetViews>
    <sheetView tabSelected="1" zoomScale="86" workbookViewId="0">
      <selection activeCell="P23" sqref="P23"/>
    </sheetView>
  </sheetViews>
  <sheetFormatPr defaultRowHeight="14.4"/>
  <sheetData>
    <row r="3" spans="2:14">
      <c r="C3" t="s">
        <v>270</v>
      </c>
    </row>
    <row r="5" spans="2:14" ht="15" thickBot="1">
      <c r="C5" s="160" t="s">
        <v>113</v>
      </c>
      <c r="D5" s="160" t="s">
        <v>114</v>
      </c>
      <c r="E5" s="160" t="s">
        <v>115</v>
      </c>
      <c r="F5" s="160" t="s">
        <v>116</v>
      </c>
      <c r="G5" s="160" t="s">
        <v>117</v>
      </c>
      <c r="H5" s="160" t="s">
        <v>118</v>
      </c>
      <c r="I5" s="160" t="s">
        <v>264</v>
      </c>
      <c r="J5" s="160" t="s">
        <v>265</v>
      </c>
      <c r="K5" s="160" t="s">
        <v>266</v>
      </c>
      <c r="L5" s="160" t="s">
        <v>267</v>
      </c>
      <c r="M5" s="160" t="s">
        <v>268</v>
      </c>
      <c r="N5" s="160" t="s">
        <v>269</v>
      </c>
    </row>
    <row r="6" spans="2:14" ht="16.2" thickBot="1">
      <c r="B6" s="164" t="s">
        <v>162</v>
      </c>
      <c r="C6" s="109">
        <v>2</v>
      </c>
      <c r="D6" s="109">
        <v>2</v>
      </c>
      <c r="E6" s="109">
        <v>3</v>
      </c>
      <c r="F6" s="109">
        <v>1</v>
      </c>
      <c r="G6" s="109">
        <v>1</v>
      </c>
      <c r="H6" s="109" t="s">
        <v>161</v>
      </c>
      <c r="I6" s="109" t="s">
        <v>161</v>
      </c>
      <c r="J6" s="109" t="s">
        <v>161</v>
      </c>
      <c r="K6" s="109">
        <v>1</v>
      </c>
      <c r="L6" s="109" t="s">
        <v>161</v>
      </c>
      <c r="M6" s="109">
        <v>1</v>
      </c>
      <c r="N6" s="109">
        <v>3</v>
      </c>
    </row>
    <row r="7" spans="2:14" ht="16.2" thickBot="1">
      <c r="B7" s="165" t="s">
        <v>163</v>
      </c>
      <c r="C7" s="109">
        <v>2</v>
      </c>
      <c r="D7" s="109">
        <v>2</v>
      </c>
      <c r="E7" s="109">
        <v>3</v>
      </c>
      <c r="F7" s="109">
        <v>1</v>
      </c>
      <c r="G7" s="109">
        <v>2</v>
      </c>
      <c r="H7" s="109" t="s">
        <v>161</v>
      </c>
      <c r="I7" s="109" t="s">
        <v>161</v>
      </c>
      <c r="J7" s="109" t="s">
        <v>161</v>
      </c>
      <c r="K7" s="109">
        <v>1</v>
      </c>
      <c r="L7" s="109" t="s">
        <v>161</v>
      </c>
      <c r="M7" s="109" t="s">
        <v>161</v>
      </c>
      <c r="N7" s="109">
        <v>3</v>
      </c>
    </row>
    <row r="8" spans="2:14" ht="16.2" thickBot="1">
      <c r="B8" s="165" t="s">
        <v>164</v>
      </c>
      <c r="C8" s="109">
        <v>2</v>
      </c>
      <c r="D8" s="109">
        <v>2</v>
      </c>
      <c r="E8" s="109">
        <v>3</v>
      </c>
      <c r="F8" s="109">
        <v>2</v>
      </c>
      <c r="G8" s="109">
        <v>2</v>
      </c>
      <c r="H8" s="109">
        <v>2</v>
      </c>
      <c r="I8" s="109" t="s">
        <v>161</v>
      </c>
      <c r="J8" s="109" t="s">
        <v>161</v>
      </c>
      <c r="K8" s="109">
        <v>2</v>
      </c>
      <c r="L8" s="109" t="s">
        <v>161</v>
      </c>
      <c r="M8" s="109">
        <v>1</v>
      </c>
      <c r="N8" s="109">
        <v>3</v>
      </c>
    </row>
    <row r="9" spans="2:14" ht="16.2" thickBot="1">
      <c r="B9" s="104" t="s">
        <v>165</v>
      </c>
      <c r="C9" s="102">
        <v>2</v>
      </c>
      <c r="D9" s="103">
        <v>2</v>
      </c>
      <c r="E9" s="103">
        <v>2</v>
      </c>
      <c r="F9" s="103">
        <v>2</v>
      </c>
      <c r="G9" s="103">
        <v>2</v>
      </c>
      <c r="H9" s="103" t="s">
        <v>161</v>
      </c>
      <c r="I9" s="103" t="s">
        <v>161</v>
      </c>
      <c r="J9" s="103" t="s">
        <v>161</v>
      </c>
      <c r="K9" s="103" t="s">
        <v>161</v>
      </c>
      <c r="L9" s="103" t="s">
        <v>161</v>
      </c>
      <c r="M9" s="103" t="s">
        <v>161</v>
      </c>
      <c r="N9" s="103">
        <v>3</v>
      </c>
    </row>
    <row r="10" spans="2:14" ht="15.6">
      <c r="B10" s="105" t="s">
        <v>166</v>
      </c>
      <c r="C10" s="106">
        <v>2</v>
      </c>
      <c r="D10" s="107">
        <v>2</v>
      </c>
      <c r="E10" s="107">
        <v>3</v>
      </c>
      <c r="F10" s="107">
        <v>3</v>
      </c>
      <c r="G10" s="107">
        <v>3</v>
      </c>
      <c r="H10" s="107">
        <v>1</v>
      </c>
      <c r="I10" s="107" t="s">
        <v>161</v>
      </c>
      <c r="J10" s="107" t="s">
        <v>161</v>
      </c>
      <c r="K10" s="107">
        <v>2</v>
      </c>
      <c r="L10" s="107" t="s">
        <v>161</v>
      </c>
      <c r="M10" s="107">
        <v>2</v>
      </c>
      <c r="N10" s="107">
        <v>3</v>
      </c>
    </row>
    <row r="11" spans="2:14" ht="15.6">
      <c r="B11" s="108" t="s">
        <v>167</v>
      </c>
      <c r="C11" s="109">
        <v>2</v>
      </c>
      <c r="D11" s="109">
        <v>2</v>
      </c>
      <c r="E11" s="109">
        <v>1</v>
      </c>
      <c r="F11" s="109">
        <v>1</v>
      </c>
      <c r="G11" s="109">
        <v>3</v>
      </c>
      <c r="H11" s="109">
        <v>2</v>
      </c>
      <c r="I11" s="109">
        <v>1</v>
      </c>
      <c r="J11" s="109" t="s">
        <v>161</v>
      </c>
      <c r="K11" s="109">
        <v>2</v>
      </c>
      <c r="L11" s="109" t="s">
        <v>161</v>
      </c>
      <c r="M11" s="109">
        <v>2</v>
      </c>
      <c r="N11" s="109">
        <v>1</v>
      </c>
    </row>
    <row r="12" spans="2:14" ht="15.6">
      <c r="B12" s="108" t="s">
        <v>168</v>
      </c>
      <c r="C12" s="71">
        <f>AVERAGE(C6:C11)</f>
        <v>2</v>
      </c>
      <c r="D12" s="71">
        <f t="shared" ref="D12:N12" si="0">AVERAGE(D6:D11)</f>
        <v>2</v>
      </c>
      <c r="E12" s="71">
        <f t="shared" si="0"/>
        <v>2.5</v>
      </c>
      <c r="F12" s="71">
        <f t="shared" si="0"/>
        <v>1.6666666666666667</v>
      </c>
      <c r="G12" s="71">
        <f t="shared" si="0"/>
        <v>2.1666666666666665</v>
      </c>
      <c r="H12" s="71">
        <f t="shared" si="0"/>
        <v>1.6666666666666667</v>
      </c>
      <c r="I12" s="71">
        <f t="shared" si="0"/>
        <v>1</v>
      </c>
      <c r="J12" s="109" t="s">
        <v>161</v>
      </c>
      <c r="K12" s="71">
        <f t="shared" si="0"/>
        <v>1.6</v>
      </c>
      <c r="L12" s="109" t="s">
        <v>161</v>
      </c>
      <c r="M12" s="71">
        <f t="shared" si="0"/>
        <v>1.5</v>
      </c>
      <c r="N12" s="71">
        <f t="shared" si="0"/>
        <v>2.6666666666666665</v>
      </c>
    </row>
    <row r="15" spans="2:14" ht="15.6">
      <c r="C15" s="23" t="s">
        <v>173</v>
      </c>
      <c r="E15" s="23">
        <v>1.56</v>
      </c>
    </row>
    <row r="17" spans="3:14">
      <c r="C17" s="160" t="s">
        <v>113</v>
      </c>
      <c r="D17" s="160" t="s">
        <v>114</v>
      </c>
      <c r="E17" s="160" t="s">
        <v>115</v>
      </c>
      <c r="F17" s="160" t="s">
        <v>116</v>
      </c>
      <c r="G17" s="160" t="s">
        <v>117</v>
      </c>
      <c r="H17" s="160" t="s">
        <v>118</v>
      </c>
      <c r="I17" s="160" t="s">
        <v>264</v>
      </c>
      <c r="J17" s="160" t="s">
        <v>265</v>
      </c>
      <c r="K17" s="160" t="s">
        <v>266</v>
      </c>
      <c r="L17" s="160" t="s">
        <v>267</v>
      </c>
      <c r="M17" s="160" t="s">
        <v>268</v>
      </c>
      <c r="N17" s="160" t="s">
        <v>269</v>
      </c>
    </row>
    <row r="18" spans="3:14" ht="15.6">
      <c r="C18" s="101">
        <f>(C12*$E$15)/3</f>
        <v>1.04</v>
      </c>
      <c r="D18" s="101">
        <f t="shared" ref="D18:N18" si="1">(D12*$E$15)/3</f>
        <v>1.04</v>
      </c>
      <c r="E18" s="101">
        <f t="shared" si="1"/>
        <v>1.3</v>
      </c>
      <c r="F18" s="101">
        <f t="shared" si="1"/>
        <v>0.8666666666666667</v>
      </c>
      <c r="G18" s="101">
        <f t="shared" si="1"/>
        <v>1.1266666666666667</v>
      </c>
      <c r="H18" s="101">
        <f t="shared" si="1"/>
        <v>0.8666666666666667</v>
      </c>
      <c r="I18" s="101">
        <f t="shared" si="1"/>
        <v>0.52</v>
      </c>
      <c r="J18" s="109" t="s">
        <v>161</v>
      </c>
      <c r="K18" s="101">
        <f t="shared" si="1"/>
        <v>0.83200000000000018</v>
      </c>
      <c r="L18" s="109" t="s">
        <v>161</v>
      </c>
      <c r="M18" s="101">
        <f t="shared" si="1"/>
        <v>0.77999999999999992</v>
      </c>
      <c r="N18" s="101">
        <f t="shared" si="1"/>
        <v>1.3866666666666667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G17"/>
  <sheetViews>
    <sheetView workbookViewId="0">
      <selection activeCell="O10" sqref="O10"/>
    </sheetView>
  </sheetViews>
  <sheetFormatPr defaultRowHeight="14.4"/>
  <sheetData>
    <row r="3" spans="3:7" ht="15" thickBot="1"/>
    <row r="4" spans="3:7" ht="47.4" thickBot="1">
      <c r="D4" s="110" t="s">
        <v>169</v>
      </c>
      <c r="E4" s="111" t="s">
        <v>170</v>
      </c>
      <c r="F4" s="111" t="s">
        <v>171</v>
      </c>
      <c r="G4" s="111" t="s">
        <v>172</v>
      </c>
    </row>
    <row r="5" spans="3:7" ht="16.2" thickBot="1">
      <c r="D5" s="104" t="s">
        <v>162</v>
      </c>
      <c r="E5" s="112">
        <v>2</v>
      </c>
      <c r="F5" s="112" t="s">
        <v>161</v>
      </c>
      <c r="G5" s="112" t="s">
        <v>161</v>
      </c>
    </row>
    <row r="6" spans="3:7" ht="16.2" thickBot="1">
      <c r="D6" s="104" t="s">
        <v>163</v>
      </c>
      <c r="E6" s="112">
        <v>2</v>
      </c>
      <c r="F6" s="113" t="s">
        <v>161</v>
      </c>
      <c r="G6" s="112" t="s">
        <v>161</v>
      </c>
    </row>
    <row r="7" spans="3:7" ht="16.2" thickBot="1">
      <c r="D7" s="104" t="s">
        <v>164</v>
      </c>
      <c r="E7" s="112">
        <v>2</v>
      </c>
      <c r="F7" s="113" t="s">
        <v>161</v>
      </c>
      <c r="G7" s="112">
        <v>2</v>
      </c>
    </row>
    <row r="8" spans="3:7" ht="16.2" thickBot="1">
      <c r="D8" s="104" t="s">
        <v>165</v>
      </c>
      <c r="E8" s="112">
        <v>2</v>
      </c>
      <c r="F8" s="113" t="s">
        <v>161</v>
      </c>
      <c r="G8" s="113" t="s">
        <v>161</v>
      </c>
    </row>
    <row r="9" spans="3:7" ht="16.2" thickBot="1">
      <c r="D9" s="104" t="s">
        <v>166</v>
      </c>
      <c r="E9" s="112">
        <v>2</v>
      </c>
      <c r="F9" s="113" t="s">
        <v>161</v>
      </c>
      <c r="G9" s="113" t="s">
        <v>161</v>
      </c>
    </row>
    <row r="10" spans="3:7" ht="16.2" thickBot="1">
      <c r="D10" s="104" t="s">
        <v>167</v>
      </c>
      <c r="E10" s="112">
        <v>2</v>
      </c>
      <c r="F10" s="112">
        <v>2</v>
      </c>
      <c r="G10" s="113">
        <v>2</v>
      </c>
    </row>
    <row r="11" spans="3:7" ht="16.2" thickBot="1">
      <c r="D11" s="104" t="s">
        <v>168</v>
      </c>
      <c r="E11" s="112">
        <v>2</v>
      </c>
      <c r="F11" s="112">
        <v>2</v>
      </c>
      <c r="G11" s="113">
        <v>2</v>
      </c>
    </row>
    <row r="15" spans="3:7" ht="15.6">
      <c r="C15" s="23" t="s">
        <v>173</v>
      </c>
      <c r="E15" s="23">
        <v>1.56</v>
      </c>
    </row>
    <row r="16" spans="3:7">
      <c r="E16" s="114" t="s">
        <v>170</v>
      </c>
      <c r="F16" s="114" t="s">
        <v>171</v>
      </c>
      <c r="G16" s="114" t="s">
        <v>172</v>
      </c>
    </row>
    <row r="17" spans="5:7">
      <c r="E17" s="71">
        <f>(E11*$E$15)/3</f>
        <v>1.04</v>
      </c>
      <c r="F17" s="71">
        <f t="shared" ref="F17:G17" si="0">(F11*$E$15)/3</f>
        <v>1.04</v>
      </c>
      <c r="G17" s="71">
        <f t="shared" si="0"/>
        <v>1.04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University PR marks</vt:lpstr>
      <vt:lpstr>TW marks</vt:lpstr>
      <vt:lpstr>PO attainment</vt:lpstr>
      <vt:lpstr>Course Exit Survey</vt:lpstr>
      <vt:lpstr>CO Attainment</vt:lpstr>
      <vt:lpstr>PSO Attainment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comp-proj-21</dc:creator>
  <cp:lastModifiedBy>Madhuri Jadhav</cp:lastModifiedBy>
  <dcterms:created xsi:type="dcterms:W3CDTF">2018-07-04T03:01:08Z</dcterms:created>
  <dcterms:modified xsi:type="dcterms:W3CDTF">2025-10-04T13:07:26Z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a97eb514-21ef-4472-a387-176d1f86e829</vt:lpwstr>
  </property>
</Properties>
</file>