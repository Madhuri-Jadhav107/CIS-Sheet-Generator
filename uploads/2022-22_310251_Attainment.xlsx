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7755" tabRatio="733"/>
  </bookViews>
  <sheets>
    <sheet name="University TH Marks" sheetId="1" r:id="rId1"/>
    <sheet name="Internal Assessment marks" sheetId="6" r:id="rId2"/>
    <sheet name="Course Exit survey" sheetId="7" r:id="rId3"/>
    <sheet name="CO Attainment" sheetId="8" r:id="rId4"/>
    <sheet name="PSO Attainment" sheetId="9" r:id="rId5"/>
  </sheets>
  <externalReferences>
    <externalReference r:id="rId6"/>
  </externalReferences>
  <calcPr calcId="124519"/>
</workbook>
</file>

<file path=xl/calcChain.xml><?xml version="1.0" encoding="utf-8"?>
<calcChain xmlns="http://schemas.openxmlformats.org/spreadsheetml/2006/main">
  <c r="I11" i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10"/>
  <c r="F100" i="6"/>
  <c r="U98"/>
  <c r="T94"/>
  <c r="N94"/>
  <c r="U14"/>
  <c r="U15"/>
  <c r="U16"/>
  <c r="U17"/>
  <c r="U18"/>
  <c r="U19"/>
  <c r="U21"/>
  <c r="U22"/>
  <c r="U23"/>
  <c r="U24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13"/>
  <c r="U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H90" i="1" l="1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19" i="9" l="1"/>
  <c r="F24" i="8"/>
  <c r="G24"/>
  <c r="H24"/>
  <c r="I24"/>
  <c r="J24"/>
  <c r="M24"/>
  <c r="P24"/>
  <c r="G16" l="1"/>
  <c r="H16"/>
  <c r="I16"/>
  <c r="J16"/>
  <c r="M16"/>
  <c r="P16"/>
  <c r="H94" i="6" l="1"/>
  <c r="F92" i="1" l="1"/>
  <c r="F94"/>
  <c r="F16" i="8"/>
  <c r="E19" i="9" l="1"/>
  <c r="E24" i="8" l="1"/>
  <c r="M13" i="6" l="1"/>
  <c r="L94"/>
  <c r="J94"/>
  <c r="F94"/>
  <c r="M97" l="1"/>
  <c r="M96"/>
  <c r="F95" i="7"/>
  <c r="G95"/>
  <c r="H95"/>
  <c r="I95"/>
  <c r="J95"/>
  <c r="E95"/>
  <c r="E96" s="1"/>
  <c r="F94"/>
  <c r="G94"/>
  <c r="H94"/>
  <c r="I94"/>
  <c r="J94"/>
  <c r="E94"/>
  <c r="J96" l="1"/>
  <c r="I96"/>
  <c r="H96"/>
  <c r="G96"/>
  <c r="F96"/>
  <c r="E97" l="1"/>
  <c r="P94" i="6"/>
  <c r="G13" l="1"/>
  <c r="G95" l="1"/>
  <c r="G97"/>
  <c r="G96"/>
  <c r="Q13"/>
  <c r="O13"/>
  <c r="I13"/>
  <c r="I95" l="1"/>
  <c r="I96"/>
  <c r="I97"/>
  <c r="Q97"/>
  <c r="Q96"/>
  <c r="Q95"/>
  <c r="O96"/>
  <c r="O95"/>
  <c r="O97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K13"/>
  <c r="B13"/>
  <c r="K95" l="1"/>
  <c r="K98" s="1"/>
  <c r="K97"/>
  <c r="K96"/>
  <c r="G98"/>
  <c r="O98"/>
  <c r="I98"/>
  <c r="Q98"/>
  <c r="M95"/>
  <c r="M98" s="1"/>
</calcChain>
</file>

<file path=xl/sharedStrings.xml><?xml version="1.0" encoding="utf-8"?>
<sst xmlns="http://schemas.openxmlformats.org/spreadsheetml/2006/main" count="743" uniqueCount="252">
  <si>
    <t>Faculty Name</t>
  </si>
  <si>
    <t>A.Y</t>
  </si>
  <si>
    <t>Subject Name</t>
  </si>
  <si>
    <t>Sub.Code</t>
  </si>
  <si>
    <t>Sem</t>
  </si>
  <si>
    <t>Sr. No.</t>
  </si>
  <si>
    <t>Seat No.</t>
  </si>
  <si>
    <t xml:space="preserve">Name of student </t>
  </si>
  <si>
    <t>End Sem</t>
  </si>
  <si>
    <t>Total</t>
  </si>
  <si>
    <t>Target Level</t>
  </si>
  <si>
    <t>Class</t>
  </si>
  <si>
    <t>CO1</t>
  </si>
  <si>
    <t>CO2</t>
  </si>
  <si>
    <t>CO3</t>
  </si>
  <si>
    <t>CO4</t>
  </si>
  <si>
    <t>CO5</t>
  </si>
  <si>
    <t>CO6</t>
  </si>
  <si>
    <t>Internal Assessment Details</t>
  </si>
  <si>
    <t>Unit Test 2</t>
  </si>
  <si>
    <t>Q1 (10M)</t>
  </si>
  <si>
    <t xml:space="preserve">TARGET LEVEL </t>
  </si>
  <si>
    <t>Q2(10M)</t>
  </si>
  <si>
    <t>TARGET LEVEL</t>
  </si>
  <si>
    <t>Q3 (10M)</t>
  </si>
  <si>
    <t>No. of students Participated</t>
  </si>
  <si>
    <t>Y</t>
  </si>
  <si>
    <t>N</t>
  </si>
  <si>
    <t>NA</t>
  </si>
  <si>
    <t>CO Attainment  (%)</t>
  </si>
  <si>
    <t xml:space="preserve">Average Attainment </t>
  </si>
  <si>
    <t xml:space="preserve">COURSE EXIT SURVEY </t>
  </si>
  <si>
    <t xml:space="preserve">Number of students appeared for the exam </t>
  </si>
  <si>
    <t xml:space="preserve">Target Level </t>
  </si>
  <si>
    <t xml:space="preserve">Program : ComputerEngineering </t>
  </si>
  <si>
    <t xml:space="preserve">Program : Computer Engineering </t>
  </si>
  <si>
    <t>PRN. No.</t>
  </si>
  <si>
    <t>Course Exit Responses</t>
  </si>
  <si>
    <t>AVG.</t>
  </si>
  <si>
    <t xml:space="preserve">Attainment level in percentage </t>
  </si>
  <si>
    <t xml:space="preserve">Average attainment level in percentage </t>
  </si>
  <si>
    <t xml:space="preserve">Final attainment level </t>
  </si>
  <si>
    <t>Prof. R.R. Shevale</t>
  </si>
  <si>
    <t>Q1(10M)</t>
  </si>
  <si>
    <t>Number of Students scoring &gt;= Target Value(Marks)</t>
  </si>
  <si>
    <t>Percentage  of Students scoring &gt;= Target Value(Marks)</t>
  </si>
  <si>
    <t>Attainment Level</t>
  </si>
  <si>
    <t xml:space="preserve">CO-PO Mapping </t>
  </si>
  <si>
    <t>CO</t>
  </si>
  <si>
    <t>Program outcomes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</si>
  <si>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</si>
  <si>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</si>
  <si>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</si>
  <si>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</si>
  <si>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</si>
  <si>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</si>
  <si>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</si>
  <si>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</si>
  <si>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</si>
  <si>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</si>
  <si>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</si>
  <si>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</si>
  <si>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-</t>
  </si>
  <si>
    <t>Overall CO attainment</t>
  </si>
  <si>
    <t xml:space="preserve">PO Attainment </t>
  </si>
  <si>
    <t xml:space="preserve">PSO Attainment </t>
  </si>
  <si>
    <t>Program Specific Outcomes</t>
  </si>
  <si>
    <t>PSO1</t>
  </si>
  <si>
    <t>PSO2</t>
  </si>
  <si>
    <t>PSO3</t>
  </si>
  <si>
    <t>Course</t>
  </si>
  <si>
    <t>Insem</t>
  </si>
  <si>
    <t xml:space="preserve">                Unit Test 1</t>
  </si>
  <si>
    <t>Unit Test 3</t>
  </si>
  <si>
    <t>Q 1 (10M)</t>
  </si>
  <si>
    <t>Target value (Marks)</t>
  </si>
  <si>
    <t>Data Science and Big Data Analytics</t>
  </si>
  <si>
    <t>TE</t>
  </si>
  <si>
    <t>T190294201</t>
  </si>
  <si>
    <t>T190294202</t>
  </si>
  <si>
    <t>T190294203</t>
  </si>
  <si>
    <t>T190294204</t>
  </si>
  <si>
    <t>T190294205</t>
  </si>
  <si>
    <t>T190294206</t>
  </si>
  <si>
    <t>BAVISKAR HIMANSHU MUKUNDA</t>
  </si>
  <si>
    <t>T190294207</t>
  </si>
  <si>
    <t>T190294208</t>
  </si>
  <si>
    <t>T190294209</t>
  </si>
  <si>
    <t>T190294210</t>
  </si>
  <si>
    <t>T190294211</t>
  </si>
  <si>
    <t>BORSE SHUBHAM VILAS</t>
  </si>
  <si>
    <t>T190294212</t>
  </si>
  <si>
    <t>T190294213</t>
  </si>
  <si>
    <t>T190294214</t>
  </si>
  <si>
    <t>T190294215</t>
  </si>
  <si>
    <t>T190294216</t>
  </si>
  <si>
    <t>T190294217</t>
  </si>
  <si>
    <t>T190294218</t>
  </si>
  <si>
    <t>T190294219</t>
  </si>
  <si>
    <t>T190294221</t>
  </si>
  <si>
    <t>T190294223</t>
  </si>
  <si>
    <t>T190294224</t>
  </si>
  <si>
    <t>T190294225</t>
  </si>
  <si>
    <t>T190294226</t>
  </si>
  <si>
    <t>T190294227</t>
  </si>
  <si>
    <t>T190294228</t>
  </si>
  <si>
    <t>T190294229</t>
  </si>
  <si>
    <t>T190294230</t>
  </si>
  <si>
    <t>T190294231</t>
  </si>
  <si>
    <t>T190294233</t>
  </si>
  <si>
    <t>T190294234</t>
  </si>
  <si>
    <t>T190294235</t>
  </si>
  <si>
    <t>T190294236</t>
  </si>
  <si>
    <t>T190294237</t>
  </si>
  <si>
    <t>T190294238</t>
  </si>
  <si>
    <t>T190294239</t>
  </si>
  <si>
    <t>T190294240</t>
  </si>
  <si>
    <t>T190294241</t>
  </si>
  <si>
    <t>T190294242</t>
  </si>
  <si>
    <t>T190294243</t>
  </si>
  <si>
    <t>T190294244</t>
  </si>
  <si>
    <t>T190294245</t>
  </si>
  <si>
    <t>T190294246</t>
  </si>
  <si>
    <t>T190294247</t>
  </si>
  <si>
    <t>T190294248</t>
  </si>
  <si>
    <t>T190294250</t>
  </si>
  <si>
    <t>T190294251</t>
  </si>
  <si>
    <t>T190294252</t>
  </si>
  <si>
    <t>T190294253</t>
  </si>
  <si>
    <t>T190294254</t>
  </si>
  <si>
    <t>T190294255</t>
  </si>
  <si>
    <t>T190294256</t>
  </si>
  <si>
    <t>T190294257</t>
  </si>
  <si>
    <t>T190294259</t>
  </si>
  <si>
    <t>T190294261</t>
  </si>
  <si>
    <t>T190294262</t>
  </si>
  <si>
    <t>T190294263</t>
  </si>
  <si>
    <t>T190294264</t>
  </si>
  <si>
    <t>T190294265</t>
  </si>
  <si>
    <t>T190294266</t>
  </si>
  <si>
    <t>T190294267</t>
  </si>
  <si>
    <t>T190294268</t>
  </si>
  <si>
    <t>T190294271</t>
  </si>
  <si>
    <t>T190294272</t>
  </si>
  <si>
    <t>T190294273</t>
  </si>
  <si>
    <t>T190294274</t>
  </si>
  <si>
    <t>T190294276</t>
  </si>
  <si>
    <t>T190294277</t>
  </si>
  <si>
    <t>T190294278</t>
  </si>
  <si>
    <t>T190294279</t>
  </si>
  <si>
    <t>T190294280</t>
  </si>
  <si>
    <t>T190294281</t>
  </si>
  <si>
    <t>2022-23</t>
  </si>
  <si>
    <t>VI</t>
  </si>
  <si>
    <t>C311.1</t>
  </si>
  <si>
    <t>C311.2</t>
  </si>
  <si>
    <t>C311.3</t>
  </si>
  <si>
    <t>C311.4</t>
  </si>
  <si>
    <t>C311.5</t>
  </si>
  <si>
    <t>C311.6</t>
  </si>
  <si>
    <t>C311</t>
  </si>
  <si>
    <t>ABIN BIJU</t>
  </si>
  <si>
    <t>AHER ARPITA SANDIP</t>
  </si>
  <si>
    <t>AHER SHRAVANI MANOJ</t>
  </si>
  <si>
    <t xml:space="preserve">AHIRE MANSI VINOD </t>
  </si>
  <si>
    <t>AHIRE RUTUJA SHARADCHANDRA</t>
  </si>
  <si>
    <t>AVHAD ROSHANI RAJENDRA</t>
  </si>
  <si>
    <t>BAGUL CHETAN PUNDALIK</t>
  </si>
  <si>
    <t>BHANDARE SAMRUDDHI NITIN</t>
  </si>
  <si>
    <t>BHAVSAR EKTA MANOJ</t>
  </si>
  <si>
    <t>BORASE RAINA PRASHANT</t>
  </si>
  <si>
    <t>BORASE RIDDHI PRAVIN</t>
  </si>
  <si>
    <t>CHAVAN SAKSHI ASHOK</t>
  </si>
  <si>
    <t>DANEJ PRATHAMESH GOVINDA</t>
  </si>
  <si>
    <t>DEORE PRATIK RAJENDRA</t>
  </si>
  <si>
    <t>DESHMUKH SUDHANSHU JAYANT</t>
  </si>
  <si>
    <t>DHANWATE MADHURI RAJENDRA</t>
  </si>
  <si>
    <t>DUSEJA SIDDHI ASHOK</t>
  </si>
  <si>
    <t>GANDHALIKAR TEJAS PANKAJ</t>
  </si>
  <si>
    <t>GEDAM SANIKA DEEPAK</t>
  </si>
  <si>
    <t>GORE VISHAL ANNASAHEB</t>
  </si>
  <si>
    <t>HIRE CHAITANYA ANIL</t>
  </si>
  <si>
    <t>JADHAV SAKSHI SUBHASH</t>
  </si>
  <si>
    <t>JOSHI AADITYA AJIT</t>
  </si>
  <si>
    <t>JOSHI PRATIK MILIND</t>
  </si>
  <si>
    <t>KALASKAR ADITYA GOVINDA</t>
  </si>
  <si>
    <t>KANKARIYA SHRUSHTI KALPESH</t>
  </si>
  <si>
    <t>KAREGAONKAR MANISH SUNIL</t>
  </si>
  <si>
    <t>KEDAR SIDDHESH VISHWANATH</t>
  </si>
  <si>
    <t>KESKAR OM MANDAR</t>
  </si>
  <si>
    <t>KHAIRNAR PREMROOP UDAYKUMAR</t>
  </si>
  <si>
    <t xml:space="preserve"> KHAIRNAR SAMRUDDHI MAHESH </t>
  </si>
  <si>
    <t xml:space="preserve"> KHEMNAR SIDDHI PRAKASH </t>
  </si>
  <si>
    <t xml:space="preserve"> KHOJE HARSHVARDHAN AJAY </t>
  </si>
  <si>
    <t>KOKANI DEEPAK UTTAMRAO</t>
  </si>
  <si>
    <t>KULKARNI KARTIKI RAJENDRA</t>
  </si>
  <si>
    <t>KUSHARE CHITALI GANESH</t>
  </si>
  <si>
    <t>MAHAJAN SAGAR RAJARAM</t>
  </si>
  <si>
    <t>MORE PRATIK UMESH</t>
  </si>
  <si>
    <t>NAIK TUSHAR VINOD</t>
  </si>
  <si>
    <t>NARNAWARE KUNIKA RATNAKAR</t>
  </si>
  <si>
    <t>NEMADE RIYA PRAVIN</t>
  </si>
  <si>
    <t>PADVI KAJAL SONU</t>
  </si>
  <si>
    <t>PAGARE OM SANJAY</t>
  </si>
  <si>
    <t>PARKSHIT GAJANAN GANGE</t>
  </si>
  <si>
    <t>PATEL KUSH BHIKESHBHAI</t>
  </si>
  <si>
    <t>PATIL KASTURI KIRAN</t>
  </si>
  <si>
    <t>PATIL RUPESH NANAJI</t>
  </si>
  <si>
    <t>PATIL SARVESH TUSHAR</t>
  </si>
  <si>
    <t>PATIL SUYOG DAGADU</t>
  </si>
  <si>
    <t>PATIL UMESH RANDHIR</t>
  </si>
  <si>
    <t>PAWAR AISHWARYA AVINASH</t>
  </si>
  <si>
    <t>PAWAR KSUHAL BHAGWAT</t>
  </si>
  <si>
    <t>PAWAR SANKET VIJAYRAO</t>
  </si>
  <si>
    <t>PAWAR SHANTANU SANJAY</t>
  </si>
  <si>
    <t>PAWAR VAISHNAVI SHRIRANG</t>
  </si>
  <si>
    <t>POTDAR OJASWINI ANIL</t>
  </si>
  <si>
    <t>RAJKULE SOHAN BHARAT</t>
  </si>
  <si>
    <t>ROHAN RAVI DASH</t>
  </si>
  <si>
    <t>ROKADE YASH KAILAS</t>
  </si>
  <si>
    <t>SAHIL RAMJAN</t>
  </si>
  <si>
    <t>SATHE PRATHAMESH SHASHANK</t>
  </si>
  <si>
    <t>SHEWALE PRANJAL VIJAY</t>
  </si>
  <si>
    <t>SHRIWASTAV SAYALI RATAN</t>
  </si>
  <si>
    <t>SHRUTI GOLESAR</t>
  </si>
  <si>
    <t>SONULE SUMIT BAJIRAO</t>
  </si>
  <si>
    <t>SUTRAVE AISHWARYA ARUN</t>
  </si>
  <si>
    <t>TAKANE CHETANA LAXMIKANT</t>
  </si>
  <si>
    <t>TANDALE SIDDI MUKESH</t>
  </si>
  <si>
    <t>TARLE JAJWALYA SANTOSH</t>
  </si>
  <si>
    <t>THOMBARE GEETA KISHOR</t>
  </si>
  <si>
    <t>T190294282</t>
  </si>
  <si>
    <t>UGALE DARSHAN KIRAN</t>
  </si>
  <si>
    <t>T190294283</t>
  </si>
  <si>
    <t>UMESH VIRENDRA RANE</t>
  </si>
  <si>
    <t>T190294284</t>
  </si>
  <si>
    <t>UPHADE ABHISHEK SUNIL</t>
  </si>
  <si>
    <t>T190294285</t>
  </si>
  <si>
    <t>VAISHNAV PRAGATI SANDIP</t>
  </si>
  <si>
    <t>T190294286</t>
  </si>
  <si>
    <t>VARUN KUMAR</t>
  </si>
  <si>
    <t>T190294287</t>
  </si>
  <si>
    <t>VEDANT SUNIL PATIL</t>
  </si>
  <si>
    <t>T190294288</t>
  </si>
  <si>
    <t>VISPUTE PRAJWAL KISHORE</t>
  </si>
  <si>
    <t>T190294290</t>
  </si>
  <si>
    <t>WARDE VISHAL ANKUSH</t>
  </si>
  <si>
    <t>T190294291</t>
  </si>
  <si>
    <t>YASHWANT UTTAM PATIL</t>
  </si>
  <si>
    <t xml:space="preserve">AB </t>
  </si>
  <si>
    <t>ab</t>
  </si>
  <si>
    <t>AB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</si>
</sst>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 tint="4.9989318521683403E-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4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6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1"/>
      <name val="Times New Roman"/>
      <family val="1"/>
    </font>
    <font>
      <sz val="10"/>
      <name val="Calibri"/>
      <family val="2"/>
      <scheme val="minor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b/>
      <sz val="12"/>
      <name val="Times New Roman"/>
      <family val="1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CAAC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applyFont="1"/>
    <xf numFmtId="0" fontId="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10" fontId="0" fillId="0" borderId="7" xfId="1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12" fillId="0" borderId="8" xfId="0" applyFont="1" applyBorder="1" applyAlignment="1">
      <alignment horizontal="center"/>
    </xf>
    <xf numFmtId="0" fontId="0" fillId="3" borderId="8" xfId="0" applyFill="1" applyBorder="1"/>
    <xf numFmtId="0" fontId="0" fillId="0" borderId="0" xfId="0" applyBorder="1"/>
    <xf numFmtId="0" fontId="20" fillId="0" borderId="0" xfId="0" applyFont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0" fontId="12" fillId="0" borderId="7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/>
    </xf>
    <xf numFmtId="0" fontId="6" fillId="0" borderId="7" xfId="0" applyFont="1" applyBorder="1"/>
    <xf numFmtId="0" fontId="15" fillId="0" borderId="0" xfId="0" applyFont="1"/>
    <xf numFmtId="0" fontId="23" fillId="0" borderId="0" xfId="0" applyFont="1"/>
    <xf numFmtId="2" fontId="26" fillId="0" borderId="20" xfId="0" applyNumberFormat="1" applyFont="1" applyBorder="1" applyAlignment="1">
      <alignment horizontal="center" vertical="center" wrapText="1"/>
    </xf>
    <xf numFmtId="0" fontId="22" fillId="0" borderId="0" xfId="0" applyFont="1"/>
    <xf numFmtId="0" fontId="0" fillId="0" borderId="0" xfId="0" applyFont="1" applyAlignment="1"/>
    <xf numFmtId="0" fontId="8" fillId="0" borderId="0" xfId="0" applyFont="1"/>
    <xf numFmtId="0" fontId="6" fillId="5" borderId="26" xfId="0" applyFont="1" applyFill="1" applyBorder="1" applyAlignment="1">
      <alignment horizontal="center" vertical="center" wrapText="1"/>
    </xf>
    <xf numFmtId="2" fontId="6" fillId="5" borderId="26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10" fontId="0" fillId="0" borderId="7" xfId="0" applyNumberForma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26" fillId="0" borderId="0" xfId="0" applyFont="1"/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30" fillId="0" borderId="0" xfId="0" applyFont="1"/>
    <xf numFmtId="0" fontId="30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10" fillId="3" borderId="0" xfId="0" applyFont="1" applyFill="1"/>
    <xf numFmtId="0" fontId="23" fillId="3" borderId="0" xfId="0" applyFont="1" applyFill="1"/>
    <xf numFmtId="0" fontId="15" fillId="3" borderId="0" xfId="0" applyFont="1" applyFill="1"/>
    <xf numFmtId="2" fontId="10" fillId="3" borderId="7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wrapText="1"/>
    </xf>
    <xf numFmtId="0" fontId="10" fillId="0" borderId="0" xfId="0" applyFont="1"/>
    <xf numFmtId="0" fontId="23" fillId="0" borderId="0" xfId="0" applyFont="1" applyAlignment="1"/>
    <xf numFmtId="0" fontId="33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2" fontId="33" fillId="0" borderId="20" xfId="0" applyNumberFormat="1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4" fillId="0" borderId="26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left" vertical="center" wrapText="1"/>
    </xf>
    <xf numFmtId="0" fontId="7" fillId="0" borderId="26" xfId="0" applyFont="1" applyBorder="1" applyAlignment="1"/>
    <xf numFmtId="0" fontId="34" fillId="7" borderId="26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/>
    <xf numFmtId="0" fontId="7" fillId="0" borderId="0" xfId="0" applyFont="1" applyAlignment="1"/>
    <xf numFmtId="0" fontId="34" fillId="7" borderId="26" xfId="0" applyFont="1" applyFill="1" applyBorder="1" applyAlignment="1">
      <alignment horizontal="left" vertical="center" wrapText="1"/>
    </xf>
    <xf numFmtId="0" fontId="34" fillId="0" borderId="27" xfId="0" applyFont="1" applyBorder="1" applyAlignment="1">
      <alignment wrapText="1"/>
    </xf>
    <xf numFmtId="0" fontId="34" fillId="0" borderId="28" xfId="0" applyFont="1" applyBorder="1" applyAlignment="1">
      <alignment wrapText="1"/>
    </xf>
    <xf numFmtId="0" fontId="34" fillId="5" borderId="29" xfId="0" applyFont="1" applyFill="1" applyBorder="1" applyAlignment="1">
      <alignment wrapText="1"/>
    </xf>
    <xf numFmtId="0" fontId="34" fillId="5" borderId="20" xfId="0" applyFont="1" applyFill="1" applyBorder="1" applyAlignment="1">
      <alignment wrapText="1"/>
    </xf>
    <xf numFmtId="0" fontId="34" fillId="0" borderId="29" xfId="0" applyFont="1" applyBorder="1" applyAlignment="1">
      <alignment wrapText="1"/>
    </xf>
    <xf numFmtId="0" fontId="34" fillId="0" borderId="20" xfId="0" applyFont="1" applyBorder="1" applyAlignment="1">
      <alignment wrapText="1"/>
    </xf>
    <xf numFmtId="0" fontId="34" fillId="8" borderId="20" xfId="0" applyFont="1" applyFill="1" applyBorder="1" applyAlignment="1">
      <alignment wrapText="1"/>
    </xf>
    <xf numFmtId="0" fontId="34" fillId="9" borderId="29" xfId="0" applyFont="1" applyFill="1" applyBorder="1" applyAlignment="1">
      <alignment wrapText="1"/>
    </xf>
    <xf numFmtId="0" fontId="38" fillId="10" borderId="26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36" fillId="3" borderId="26" xfId="0" applyFont="1" applyFill="1" applyBorder="1" applyAlignment="1">
      <alignment horizontal="center" vertical="center" wrapText="1"/>
    </xf>
    <xf numFmtId="0" fontId="37" fillId="3" borderId="26" xfId="0" applyFont="1" applyFill="1" applyBorder="1" applyAlignment="1">
      <alignment horizontal="left" vertical="center"/>
    </xf>
    <xf numFmtId="0" fontId="38" fillId="11" borderId="26" xfId="0" applyFont="1" applyFill="1" applyBorder="1" applyAlignment="1">
      <alignment horizontal="center" vertical="center"/>
    </xf>
    <xf numFmtId="0" fontId="38" fillId="3" borderId="26" xfId="0" applyFont="1" applyFill="1" applyBorder="1" applyAlignment="1">
      <alignment horizontal="center" vertical="center"/>
    </xf>
    <xf numFmtId="0" fontId="36" fillId="3" borderId="26" xfId="0" applyFont="1" applyFill="1" applyBorder="1" applyAlignment="1">
      <alignment horizontal="left" vertical="center" wrapText="1"/>
    </xf>
    <xf numFmtId="0" fontId="36" fillId="12" borderId="26" xfId="0" applyFont="1" applyFill="1" applyBorder="1" applyAlignment="1">
      <alignment horizontal="center" vertical="center" wrapText="1"/>
    </xf>
    <xf numFmtId="0" fontId="36" fillId="12" borderId="26" xfId="0" applyFont="1" applyFill="1" applyBorder="1" applyAlignment="1">
      <alignment horizontal="left" vertical="center" wrapText="1"/>
    </xf>
    <xf numFmtId="0" fontId="38" fillId="12" borderId="26" xfId="0" applyFont="1" applyFill="1" applyBorder="1" applyAlignment="1">
      <alignment horizontal="center" vertical="center"/>
    </xf>
    <xf numFmtId="0" fontId="23" fillId="3" borderId="26" xfId="0" applyFont="1" applyFill="1" applyBorder="1" applyAlignment="1"/>
    <xf numFmtId="0" fontId="23" fillId="3" borderId="0" xfId="0" applyFont="1" applyFill="1" applyAlignment="1"/>
    <xf numFmtId="0" fontId="36" fillId="3" borderId="27" xfId="0" applyFont="1" applyFill="1" applyBorder="1" applyAlignment="1">
      <alignment wrapText="1"/>
    </xf>
    <xf numFmtId="0" fontId="36" fillId="3" borderId="28" xfId="0" applyFont="1" applyFill="1" applyBorder="1" applyAlignment="1">
      <alignment wrapText="1"/>
    </xf>
    <xf numFmtId="0" fontId="36" fillId="13" borderId="29" xfId="0" applyFont="1" applyFill="1" applyBorder="1" applyAlignment="1">
      <alignment wrapText="1"/>
    </xf>
    <xf numFmtId="0" fontId="36" fillId="13" borderId="20" xfId="0" applyFont="1" applyFill="1" applyBorder="1" applyAlignment="1">
      <alignment wrapText="1"/>
    </xf>
    <xf numFmtId="0" fontId="38" fillId="13" borderId="26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wrapText="1"/>
    </xf>
    <xf numFmtId="0" fontId="36" fillId="3" borderId="20" xfId="0" applyFont="1" applyFill="1" applyBorder="1" applyAlignment="1">
      <alignment wrapText="1"/>
    </xf>
    <xf numFmtId="0" fontId="36" fillId="14" borderId="20" xfId="0" applyFont="1" applyFill="1" applyBorder="1" applyAlignment="1">
      <alignment wrapText="1"/>
    </xf>
    <xf numFmtId="0" fontId="36" fillId="15" borderId="29" xfId="0" applyFont="1" applyFill="1" applyBorder="1" applyAlignment="1">
      <alignment wrapText="1"/>
    </xf>
    <xf numFmtId="0" fontId="10" fillId="3" borderId="12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left"/>
    </xf>
    <xf numFmtId="0" fontId="39" fillId="3" borderId="7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4" fillId="3" borderId="26" xfId="0" applyFont="1" applyFill="1" applyBorder="1" applyAlignment="1">
      <alignment horizontal="center" vertical="center" wrapText="1"/>
    </xf>
    <xf numFmtId="0" fontId="34" fillId="3" borderId="26" xfId="0" applyFont="1" applyFill="1" applyBorder="1" applyAlignment="1">
      <alignment horizontal="left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25" fillId="0" borderId="12" xfId="0" applyNumberFormat="1" applyFont="1" applyBorder="1" applyAlignment="1">
      <alignment horizontal="center" vertical="center" wrapText="1"/>
    </xf>
    <xf numFmtId="0" fontId="25" fillId="0" borderId="16" xfId="0" applyNumberFormat="1" applyFont="1" applyBorder="1" applyAlignment="1">
      <alignment horizontal="center" vertical="center" wrapText="1"/>
    </xf>
    <xf numFmtId="0" fontId="25" fillId="0" borderId="14" xfId="0" applyNumberFormat="1" applyFont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27" fillId="0" borderId="25" xfId="0" applyFont="1" applyBorder="1"/>
    <xf numFmtId="0" fontId="6" fillId="5" borderId="22" xfId="0" applyFont="1" applyFill="1" applyBorder="1" applyAlignment="1">
      <alignment horizontal="center" vertical="center" wrapText="1"/>
    </xf>
    <xf numFmtId="0" fontId="27" fillId="0" borderId="23" xfId="0" applyFont="1" applyBorder="1"/>
    <xf numFmtId="0" fontId="27" fillId="0" borderId="24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WL-04/AppData/Local/Temp/MSG/Tribology%20CO%20PO%20Attainment%20A%20&amp;%20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O Calculations"/>
      <sheetName val="CO meet M or N"/>
      <sheetName val="Internal Assesment marks"/>
      <sheetName val="CO Attainment Exit Survey"/>
      <sheetName val="Net CO attainment"/>
      <sheetName val="PO attainment"/>
      <sheetName val="PSO attainment"/>
      <sheetName val="Sheet2"/>
      <sheetName val="Course Exit Survey "/>
      <sheetName val="University TH Marks"/>
    </sheetNames>
    <sheetDataSet>
      <sheetData sheetId="0"/>
      <sheetData sheetId="1"/>
      <sheetData sheetId="2">
        <row r="14">
          <cell r="B14" t="e">
            <v>#REF!</v>
          </cell>
        </row>
        <row r="15">
          <cell r="B15" t="e">
            <v>#REF!</v>
          </cell>
        </row>
        <row r="16">
          <cell r="B16" t="e">
            <v>#REF!</v>
          </cell>
        </row>
        <row r="17">
          <cell r="B17" t="e">
            <v>#REF!</v>
          </cell>
        </row>
        <row r="18">
          <cell r="B18" t="e">
            <v>#REF!</v>
          </cell>
        </row>
        <row r="19">
          <cell r="B19" t="e">
            <v>#REF!</v>
          </cell>
        </row>
        <row r="20">
          <cell r="B20" t="e">
            <v>#REF!</v>
          </cell>
        </row>
        <row r="21">
          <cell r="B21" t="e">
            <v>#REF!</v>
          </cell>
        </row>
        <row r="22">
          <cell r="B22" t="e">
            <v>#REF!</v>
          </cell>
        </row>
        <row r="23">
          <cell r="B23" t="e">
            <v>#REF!</v>
          </cell>
        </row>
        <row r="24">
          <cell r="B24" t="e">
            <v>#REF!</v>
          </cell>
        </row>
        <row r="25">
          <cell r="B25" t="e">
            <v>#REF!</v>
          </cell>
        </row>
        <row r="26">
          <cell r="B26" t="e">
            <v>#REF!</v>
          </cell>
        </row>
        <row r="27">
          <cell r="B27" t="e">
            <v>#REF!</v>
          </cell>
        </row>
        <row r="28">
          <cell r="B28" t="e">
            <v>#REF!</v>
          </cell>
        </row>
        <row r="29">
          <cell r="B29" t="e">
            <v>#REF!</v>
          </cell>
        </row>
        <row r="30">
          <cell r="B30" t="e">
            <v>#REF!</v>
          </cell>
        </row>
        <row r="31">
          <cell r="B31" t="e">
            <v>#REF!</v>
          </cell>
        </row>
        <row r="32">
          <cell r="B32" t="e">
            <v>#REF!</v>
          </cell>
        </row>
        <row r="33">
          <cell r="B33" t="e">
            <v>#REF!</v>
          </cell>
        </row>
        <row r="34">
          <cell r="B34" t="e">
            <v>#REF!</v>
          </cell>
        </row>
        <row r="35">
          <cell r="B35" t="e">
            <v>#REF!</v>
          </cell>
        </row>
        <row r="36">
          <cell r="B36" t="e">
            <v>#REF!</v>
          </cell>
        </row>
        <row r="37">
          <cell r="B37" t="e">
            <v>#REF!</v>
          </cell>
        </row>
        <row r="38">
          <cell r="B38" t="e">
            <v>#REF!</v>
          </cell>
        </row>
        <row r="39">
          <cell r="B39" t="e">
            <v>#REF!</v>
          </cell>
        </row>
        <row r="40">
          <cell r="B40" t="e">
            <v>#REF!</v>
          </cell>
        </row>
        <row r="41">
          <cell r="B41" t="e">
            <v>#REF!</v>
          </cell>
        </row>
        <row r="42">
          <cell r="B42" t="e">
            <v>#REF!</v>
          </cell>
        </row>
        <row r="43">
          <cell r="B43" t="e">
            <v>#REF!</v>
          </cell>
        </row>
        <row r="44">
          <cell r="B44" t="e">
            <v>#REF!</v>
          </cell>
        </row>
        <row r="45">
          <cell r="B45" t="e">
            <v>#REF!</v>
          </cell>
        </row>
        <row r="46">
          <cell r="B46" t="e">
            <v>#REF!</v>
          </cell>
        </row>
        <row r="47">
          <cell r="B47" t="e">
            <v>#REF!</v>
          </cell>
        </row>
        <row r="48">
          <cell r="B48" t="e">
            <v>#REF!</v>
          </cell>
        </row>
        <row r="49">
          <cell r="B49" t="e">
            <v>#REF!</v>
          </cell>
        </row>
        <row r="50">
          <cell r="B50" t="e">
            <v>#REF!</v>
          </cell>
        </row>
        <row r="51">
          <cell r="B51" t="e">
            <v>#REF!</v>
          </cell>
        </row>
        <row r="53">
          <cell r="B53" t="e">
            <v>#REF!</v>
          </cell>
        </row>
        <row r="54">
          <cell r="B54" t="e">
            <v>#REF!</v>
          </cell>
        </row>
        <row r="55">
          <cell r="B55" t="e">
            <v>#REF!</v>
          </cell>
        </row>
        <row r="56">
          <cell r="B56" t="e">
            <v>#REF!</v>
          </cell>
        </row>
        <row r="57">
          <cell r="B57" t="e">
            <v>#REF!</v>
          </cell>
        </row>
        <row r="58">
          <cell r="B58" t="e">
            <v>#REF!</v>
          </cell>
        </row>
        <row r="59">
          <cell r="B59" t="e">
            <v>#REF!</v>
          </cell>
        </row>
        <row r="60">
          <cell r="B60" t="e">
            <v>#REF!</v>
          </cell>
        </row>
        <row r="61">
          <cell r="B61" t="e">
            <v>#REF!</v>
          </cell>
        </row>
        <row r="62">
          <cell r="B62" t="e">
            <v>#REF!</v>
          </cell>
        </row>
        <row r="63">
          <cell r="B63" t="e">
            <v>#REF!</v>
          </cell>
        </row>
        <row r="64">
          <cell r="B64" t="e">
            <v>#REF!</v>
          </cell>
        </row>
        <row r="65">
          <cell r="B65" t="e">
            <v>#REF!</v>
          </cell>
        </row>
        <row r="67">
          <cell r="B67" t="e">
            <v>#REF!</v>
          </cell>
        </row>
        <row r="68">
          <cell r="B68" t="e">
            <v>#REF!</v>
          </cell>
        </row>
        <row r="69">
          <cell r="B69" t="e">
            <v>#REF!</v>
          </cell>
        </row>
        <row r="70">
          <cell r="B70" t="e">
            <v>#REF!</v>
          </cell>
        </row>
        <row r="71">
          <cell r="B71" t="e">
            <v>#REF!</v>
          </cell>
        </row>
        <row r="72">
          <cell r="B72" t="e">
            <v>#REF!</v>
          </cell>
        </row>
        <row r="73">
          <cell r="B73" t="e">
            <v>#REF!</v>
          </cell>
        </row>
        <row r="74">
          <cell r="B74" t="e">
            <v>#REF!</v>
          </cell>
        </row>
        <row r="75">
          <cell r="B75" t="e">
            <v>#REF!</v>
          </cell>
        </row>
        <row r="77">
          <cell r="B77" t="e">
            <v>#REF!</v>
          </cell>
        </row>
        <row r="78">
          <cell r="B78" t="e">
            <v>#REF!</v>
          </cell>
        </row>
        <row r="79">
          <cell r="B79" t="e">
            <v>#REF!</v>
          </cell>
        </row>
        <row r="80">
          <cell r="B80" t="e">
            <v>#REF!</v>
          </cell>
        </row>
        <row r="81">
          <cell r="B81" t="e">
            <v>#REF!</v>
          </cell>
        </row>
        <row r="82">
          <cell r="B82" t="e">
            <v>#REF!</v>
          </cell>
        </row>
        <row r="83">
          <cell r="B83" t="e">
            <v>#REF!</v>
          </cell>
        </row>
        <row r="84">
          <cell r="B84" t="e">
            <v>#REF!</v>
          </cell>
        </row>
        <row r="85">
          <cell r="B85" t="e">
            <v>#REF!</v>
          </cell>
        </row>
        <row r="86">
          <cell r="B86" t="e">
            <v>#REF!</v>
          </cell>
        </row>
        <row r="87">
          <cell r="B87" t="e">
            <v>#REF!</v>
          </cell>
        </row>
        <row r="88">
          <cell r="B88" t="e">
            <v>#REF!</v>
          </cell>
        </row>
        <row r="89">
          <cell r="B89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99"/>
  <sheetViews>
    <sheetView tabSelected="1" topLeftCell="A84" workbookViewId="0">
      <selection activeCell="B99" sqref="B99:E100"/>
    </sheetView>
  </sheetViews>
  <sheetFormatPr defaultRowHeight="15"/>
  <cols>
    <col min="1" max="2" width="9.140625" style="2"/>
    <col min="3" max="3" width="9.140625" style="1"/>
    <col min="4" max="4" width="17.28515625" style="1" customWidth="1"/>
    <col min="5" max="5" width="45.7109375" style="12" customWidth="1"/>
    <col min="6" max="6" width="12.7109375" style="1" customWidth="1"/>
    <col min="7" max="7" width="19" style="1" customWidth="1"/>
    <col min="8" max="8" width="12.7109375" style="1" customWidth="1"/>
    <col min="9" max="9" width="12.7109375" style="2" customWidth="1"/>
    <col min="10" max="10" width="9.140625" style="1"/>
    <col min="11" max="16384" width="9.140625" style="2"/>
  </cols>
  <sheetData>
    <row r="2" spans="3:11" ht="18.75">
      <c r="D2" s="164" t="s">
        <v>34</v>
      </c>
      <c r="E2" s="164"/>
      <c r="F2" s="164"/>
      <c r="G2" s="164"/>
      <c r="H2" s="164"/>
    </row>
    <row r="3" spans="3:11" ht="15.75" thickBot="1">
      <c r="D3" s="165"/>
      <c r="E3" s="165"/>
      <c r="F3" s="2"/>
      <c r="G3" s="2"/>
      <c r="H3" s="2"/>
    </row>
    <row r="4" spans="3:11" ht="17.25" thickBot="1">
      <c r="D4" s="34" t="s">
        <v>0</v>
      </c>
      <c r="E4" s="3" t="s">
        <v>42</v>
      </c>
      <c r="F4" s="4" t="s">
        <v>1</v>
      </c>
      <c r="G4" s="37" t="s">
        <v>152</v>
      </c>
    </row>
    <row r="5" spans="3:11" ht="35.25" customHeight="1" thickBot="1">
      <c r="D5" s="34" t="s">
        <v>2</v>
      </c>
      <c r="E5" s="78" t="s">
        <v>76</v>
      </c>
      <c r="F5" s="4" t="s">
        <v>3</v>
      </c>
      <c r="G5" s="37">
        <v>310251</v>
      </c>
    </row>
    <row r="6" spans="3:11" ht="17.25" thickBot="1">
      <c r="D6" s="14" t="s">
        <v>4</v>
      </c>
      <c r="E6" s="5" t="s">
        <v>153</v>
      </c>
      <c r="F6" s="6" t="s">
        <v>11</v>
      </c>
      <c r="G6" s="7" t="s">
        <v>77</v>
      </c>
    </row>
    <row r="9" spans="3:11" ht="24.95" customHeight="1">
      <c r="C9" s="29" t="s">
        <v>5</v>
      </c>
      <c r="D9" s="29" t="s">
        <v>36</v>
      </c>
      <c r="E9" s="29" t="s">
        <v>7</v>
      </c>
      <c r="F9" s="66" t="s">
        <v>71</v>
      </c>
      <c r="G9" s="8" t="s">
        <v>8</v>
      </c>
      <c r="H9" s="8" t="s">
        <v>9</v>
      </c>
      <c r="I9" s="30" t="s">
        <v>10</v>
      </c>
    </row>
    <row r="10" spans="3:11" ht="18" customHeight="1">
      <c r="C10" s="79">
        <v>1</v>
      </c>
      <c r="D10" s="134" t="s">
        <v>78</v>
      </c>
      <c r="E10" s="135" t="s">
        <v>161</v>
      </c>
      <c r="F10" s="136">
        <v>21</v>
      </c>
      <c r="G10" s="136">
        <v>45</v>
      </c>
      <c r="H10" s="132">
        <f t="shared" ref="H10:H90" si="0">SUM(F10:G10)</f>
        <v>66</v>
      </c>
      <c r="I10" s="9" t="str">
        <f>IF(H10&gt;=49,"Y","N")</f>
        <v>Y</v>
      </c>
      <c r="J10" s="10"/>
      <c r="K10" s="11"/>
    </row>
    <row r="11" spans="3:11" ht="18" customHeight="1">
      <c r="C11" s="79">
        <v>2</v>
      </c>
      <c r="D11" s="134" t="s">
        <v>79</v>
      </c>
      <c r="E11" s="135" t="s">
        <v>162</v>
      </c>
      <c r="F11" s="136">
        <v>27</v>
      </c>
      <c r="G11" s="136">
        <v>43</v>
      </c>
      <c r="H11" s="132">
        <f t="shared" si="0"/>
        <v>70</v>
      </c>
      <c r="I11" s="163" t="str">
        <f t="shared" ref="I11:I74" si="1">IF(H11&gt;=49,"Y","N")</f>
        <v>Y</v>
      </c>
    </row>
    <row r="12" spans="3:11" ht="18" customHeight="1">
      <c r="C12" s="79">
        <v>3</v>
      </c>
      <c r="D12" s="134" t="s">
        <v>80</v>
      </c>
      <c r="E12" s="135" t="s">
        <v>163</v>
      </c>
      <c r="F12" s="136">
        <v>23</v>
      </c>
      <c r="G12" s="136">
        <v>50</v>
      </c>
      <c r="H12" s="132">
        <f t="shared" si="0"/>
        <v>73</v>
      </c>
      <c r="I12" s="163" t="str">
        <f t="shared" si="1"/>
        <v>Y</v>
      </c>
      <c r="J12" s="10"/>
    </row>
    <row r="13" spans="3:11" ht="18" customHeight="1">
      <c r="C13" s="79">
        <v>4</v>
      </c>
      <c r="D13" s="134" t="s">
        <v>81</v>
      </c>
      <c r="E13" s="135" t="s">
        <v>164</v>
      </c>
      <c r="F13" s="137">
        <v>29</v>
      </c>
      <c r="G13" s="137">
        <v>58</v>
      </c>
      <c r="H13" s="132">
        <f t="shared" si="0"/>
        <v>87</v>
      </c>
      <c r="I13" s="163" t="str">
        <f t="shared" si="1"/>
        <v>Y</v>
      </c>
    </row>
    <row r="14" spans="3:11" ht="18" customHeight="1">
      <c r="C14" s="79">
        <v>5</v>
      </c>
      <c r="D14" s="134" t="s">
        <v>82</v>
      </c>
      <c r="E14" s="135" t="s">
        <v>165</v>
      </c>
      <c r="F14" s="136">
        <v>19</v>
      </c>
      <c r="G14" s="136">
        <v>49</v>
      </c>
      <c r="H14" s="132">
        <f t="shared" si="0"/>
        <v>68</v>
      </c>
      <c r="I14" s="163" t="str">
        <f t="shared" si="1"/>
        <v>Y</v>
      </c>
      <c r="J14" s="10"/>
    </row>
    <row r="15" spans="3:11" ht="18" customHeight="1">
      <c r="C15" s="79">
        <v>6</v>
      </c>
      <c r="D15" s="134" t="s">
        <v>83</v>
      </c>
      <c r="E15" s="135" t="s">
        <v>166</v>
      </c>
      <c r="F15" s="136">
        <v>22</v>
      </c>
      <c r="G15" s="136">
        <v>50</v>
      </c>
      <c r="H15" s="132">
        <f t="shared" si="0"/>
        <v>72</v>
      </c>
      <c r="I15" s="163" t="str">
        <f t="shared" si="1"/>
        <v>Y</v>
      </c>
    </row>
    <row r="16" spans="3:11" ht="18" customHeight="1">
      <c r="C16" s="79">
        <v>7</v>
      </c>
      <c r="D16" s="134" t="s">
        <v>85</v>
      </c>
      <c r="E16" s="135" t="s">
        <v>167</v>
      </c>
      <c r="F16" s="136">
        <v>24</v>
      </c>
      <c r="G16" s="136">
        <v>47</v>
      </c>
      <c r="H16" s="132">
        <f t="shared" si="0"/>
        <v>71</v>
      </c>
      <c r="I16" s="163" t="str">
        <f t="shared" si="1"/>
        <v>Y</v>
      </c>
      <c r="J16" s="10"/>
    </row>
    <row r="17" spans="3:10" ht="15.75">
      <c r="C17" s="79">
        <v>8</v>
      </c>
      <c r="D17" s="134" t="s">
        <v>86</v>
      </c>
      <c r="E17" s="138" t="s">
        <v>84</v>
      </c>
      <c r="F17" s="136">
        <v>18</v>
      </c>
      <c r="G17" s="136">
        <v>31</v>
      </c>
      <c r="H17" s="132">
        <f t="shared" si="0"/>
        <v>49</v>
      </c>
      <c r="I17" s="163" t="str">
        <f t="shared" si="1"/>
        <v>Y</v>
      </c>
    </row>
    <row r="18" spans="3:10" ht="15.75">
      <c r="C18" s="79">
        <v>9</v>
      </c>
      <c r="D18" s="134" t="s">
        <v>87</v>
      </c>
      <c r="E18" s="138" t="s">
        <v>168</v>
      </c>
      <c r="F18" s="136">
        <v>25</v>
      </c>
      <c r="G18" s="136">
        <v>52</v>
      </c>
      <c r="H18" s="132">
        <f t="shared" si="0"/>
        <v>77</v>
      </c>
      <c r="I18" s="163" t="str">
        <f t="shared" si="1"/>
        <v>Y</v>
      </c>
      <c r="J18" s="10"/>
    </row>
    <row r="19" spans="3:10" ht="15.75">
      <c r="C19" s="79">
        <v>10</v>
      </c>
      <c r="D19" s="134" t="s">
        <v>88</v>
      </c>
      <c r="E19" s="138" t="s">
        <v>169</v>
      </c>
      <c r="F19" s="136">
        <v>28</v>
      </c>
      <c r="G19" s="136">
        <v>58</v>
      </c>
      <c r="H19" s="132">
        <f t="shared" si="0"/>
        <v>86</v>
      </c>
      <c r="I19" s="163" t="str">
        <f t="shared" si="1"/>
        <v>Y</v>
      </c>
    </row>
    <row r="20" spans="3:10" ht="15.75">
      <c r="C20" s="79">
        <v>11</v>
      </c>
      <c r="D20" s="134" t="s">
        <v>89</v>
      </c>
      <c r="E20" s="138" t="s">
        <v>170</v>
      </c>
      <c r="F20" s="136">
        <v>29</v>
      </c>
      <c r="G20" s="136">
        <v>55</v>
      </c>
      <c r="H20" s="132">
        <f t="shared" si="0"/>
        <v>84</v>
      </c>
      <c r="I20" s="163" t="str">
        <f t="shared" si="1"/>
        <v>Y</v>
      </c>
      <c r="J20" s="10"/>
    </row>
    <row r="21" spans="3:10" ht="15.75">
      <c r="C21" s="79">
        <v>12</v>
      </c>
      <c r="D21" s="134" t="s">
        <v>91</v>
      </c>
      <c r="E21" s="138" t="s">
        <v>171</v>
      </c>
      <c r="F21" s="136">
        <v>12</v>
      </c>
      <c r="G21" s="136">
        <v>48</v>
      </c>
      <c r="H21" s="132">
        <f t="shared" si="0"/>
        <v>60</v>
      </c>
      <c r="I21" s="163" t="str">
        <f t="shared" si="1"/>
        <v>Y</v>
      </c>
    </row>
    <row r="22" spans="3:10" ht="15.75">
      <c r="C22" s="79">
        <v>13</v>
      </c>
      <c r="D22" s="134" t="s">
        <v>92</v>
      </c>
      <c r="E22" s="138" t="s">
        <v>90</v>
      </c>
      <c r="F22" s="136">
        <v>21</v>
      </c>
      <c r="G22" s="136">
        <v>28</v>
      </c>
      <c r="H22" s="132">
        <f t="shared" si="0"/>
        <v>49</v>
      </c>
      <c r="I22" s="163" t="str">
        <f t="shared" si="1"/>
        <v>Y</v>
      </c>
      <c r="J22" s="10"/>
    </row>
    <row r="23" spans="3:10" ht="15.75">
      <c r="C23" s="79">
        <v>14</v>
      </c>
      <c r="D23" s="139" t="s">
        <v>93</v>
      </c>
      <c r="E23" s="140" t="s">
        <v>172</v>
      </c>
      <c r="F23" s="141">
        <v>18</v>
      </c>
      <c r="G23" s="141">
        <v>60</v>
      </c>
      <c r="H23" s="141">
        <f t="shared" si="0"/>
        <v>78</v>
      </c>
      <c r="I23" s="163" t="str">
        <f t="shared" si="1"/>
        <v>Y</v>
      </c>
    </row>
    <row r="24" spans="3:10" ht="15.75">
      <c r="C24" s="79">
        <v>15</v>
      </c>
      <c r="D24" s="139" t="s">
        <v>94</v>
      </c>
      <c r="E24" s="140" t="s">
        <v>173</v>
      </c>
      <c r="F24" s="141">
        <v>26</v>
      </c>
      <c r="G24" s="141">
        <v>39</v>
      </c>
      <c r="H24" s="141">
        <f t="shared" si="0"/>
        <v>65</v>
      </c>
      <c r="I24" s="163" t="str">
        <f t="shared" si="1"/>
        <v>Y</v>
      </c>
      <c r="J24" s="10"/>
    </row>
    <row r="25" spans="3:10" ht="15.75">
      <c r="C25" s="79">
        <v>16</v>
      </c>
      <c r="D25" s="134" t="s">
        <v>95</v>
      </c>
      <c r="E25" s="138" t="s">
        <v>174</v>
      </c>
      <c r="F25" s="136">
        <v>20</v>
      </c>
      <c r="G25" s="136">
        <v>48</v>
      </c>
      <c r="H25" s="132">
        <f t="shared" si="0"/>
        <v>68</v>
      </c>
      <c r="I25" s="163" t="str">
        <f t="shared" si="1"/>
        <v>Y</v>
      </c>
    </row>
    <row r="26" spans="3:10" ht="15.75">
      <c r="C26" s="79">
        <v>17</v>
      </c>
      <c r="D26" s="134" t="s">
        <v>96</v>
      </c>
      <c r="E26" s="138" t="s">
        <v>175</v>
      </c>
      <c r="F26" s="136">
        <v>23</v>
      </c>
      <c r="G26" s="136">
        <v>51</v>
      </c>
      <c r="H26" s="132">
        <f t="shared" si="0"/>
        <v>74</v>
      </c>
      <c r="I26" s="163" t="str">
        <f t="shared" si="1"/>
        <v>Y</v>
      </c>
      <c r="J26" s="10"/>
    </row>
    <row r="27" spans="3:10" ht="15.75">
      <c r="C27" s="79">
        <v>18</v>
      </c>
      <c r="D27" s="134" t="s">
        <v>97</v>
      </c>
      <c r="E27" s="138" t="s">
        <v>176</v>
      </c>
      <c r="F27" s="136">
        <v>18</v>
      </c>
      <c r="G27" s="136">
        <v>49</v>
      </c>
      <c r="H27" s="132">
        <f t="shared" si="0"/>
        <v>67</v>
      </c>
      <c r="I27" s="163" t="str">
        <f t="shared" si="1"/>
        <v>Y</v>
      </c>
    </row>
    <row r="28" spans="3:10" ht="15.75">
      <c r="C28" s="79">
        <v>19</v>
      </c>
      <c r="D28" s="134" t="s">
        <v>98</v>
      </c>
      <c r="E28" s="138" t="s">
        <v>177</v>
      </c>
      <c r="F28" s="136" t="s">
        <v>249</v>
      </c>
      <c r="G28" s="136">
        <v>54</v>
      </c>
      <c r="H28" s="132">
        <f t="shared" si="0"/>
        <v>54</v>
      </c>
      <c r="I28" s="163" t="str">
        <f t="shared" si="1"/>
        <v>Y</v>
      </c>
      <c r="J28" s="10"/>
    </row>
    <row r="29" spans="3:10" ht="15.75">
      <c r="C29" s="79">
        <v>20</v>
      </c>
      <c r="D29" s="134" t="s">
        <v>99</v>
      </c>
      <c r="E29" s="138" t="s">
        <v>178</v>
      </c>
      <c r="F29" s="136">
        <v>25</v>
      </c>
      <c r="G29" s="136">
        <v>46</v>
      </c>
      <c r="H29" s="132">
        <f t="shared" si="0"/>
        <v>71</v>
      </c>
      <c r="I29" s="163" t="str">
        <f t="shared" si="1"/>
        <v>Y</v>
      </c>
    </row>
    <row r="30" spans="3:10" ht="15.75">
      <c r="C30" s="79">
        <v>21</v>
      </c>
      <c r="D30" s="134" t="s">
        <v>100</v>
      </c>
      <c r="E30" s="138" t="s">
        <v>179</v>
      </c>
      <c r="F30" s="136">
        <v>26</v>
      </c>
      <c r="G30" s="136">
        <v>60</v>
      </c>
      <c r="H30" s="132">
        <f t="shared" si="0"/>
        <v>86</v>
      </c>
      <c r="I30" s="163" t="str">
        <f t="shared" si="1"/>
        <v>Y</v>
      </c>
      <c r="J30" s="10"/>
    </row>
    <row r="31" spans="3:10" ht="15.75">
      <c r="C31" s="79">
        <v>22</v>
      </c>
      <c r="D31" s="134" t="s">
        <v>101</v>
      </c>
      <c r="E31" s="138" t="s">
        <v>180</v>
      </c>
      <c r="F31" s="136">
        <v>17</v>
      </c>
      <c r="G31" s="136">
        <v>43</v>
      </c>
      <c r="H31" s="132">
        <f t="shared" si="0"/>
        <v>60</v>
      </c>
      <c r="I31" s="163" t="str">
        <f t="shared" si="1"/>
        <v>Y</v>
      </c>
    </row>
    <row r="32" spans="3:10" ht="15.75">
      <c r="C32" s="79">
        <v>23</v>
      </c>
      <c r="D32" s="134" t="s">
        <v>102</v>
      </c>
      <c r="E32" s="138" t="s">
        <v>181</v>
      </c>
      <c r="F32" s="136">
        <v>20</v>
      </c>
      <c r="G32" s="136">
        <v>47</v>
      </c>
      <c r="H32" s="132">
        <f t="shared" si="0"/>
        <v>67</v>
      </c>
      <c r="I32" s="163" t="str">
        <f t="shared" si="1"/>
        <v>Y</v>
      </c>
      <c r="J32" s="10"/>
    </row>
    <row r="33" spans="3:10" ht="15.75">
      <c r="C33" s="79">
        <v>24</v>
      </c>
      <c r="D33" s="134" t="s">
        <v>103</v>
      </c>
      <c r="E33" s="142" t="s">
        <v>182</v>
      </c>
      <c r="F33" s="136">
        <v>24</v>
      </c>
      <c r="G33" s="136">
        <v>42</v>
      </c>
      <c r="H33" s="132">
        <f t="shared" si="0"/>
        <v>66</v>
      </c>
      <c r="I33" s="163" t="str">
        <f t="shared" si="1"/>
        <v>Y</v>
      </c>
    </row>
    <row r="34" spans="3:10" ht="24" customHeight="1">
      <c r="C34" s="79">
        <v>25</v>
      </c>
      <c r="D34" s="134" t="s">
        <v>104</v>
      </c>
      <c r="E34" s="142" t="s">
        <v>183</v>
      </c>
      <c r="F34" s="136">
        <v>24</v>
      </c>
      <c r="G34" s="136">
        <v>30</v>
      </c>
      <c r="H34" s="132">
        <f t="shared" si="0"/>
        <v>54</v>
      </c>
      <c r="I34" s="163" t="str">
        <f t="shared" si="1"/>
        <v>Y</v>
      </c>
      <c r="J34" s="10"/>
    </row>
    <row r="35" spans="3:10" ht="15.75">
      <c r="C35" s="79">
        <v>26</v>
      </c>
      <c r="D35" s="134" t="s">
        <v>105</v>
      </c>
      <c r="E35" s="142" t="s">
        <v>184</v>
      </c>
      <c r="F35" s="136">
        <v>19</v>
      </c>
      <c r="G35" s="136">
        <v>41</v>
      </c>
      <c r="H35" s="132">
        <f t="shared" si="0"/>
        <v>60</v>
      </c>
      <c r="I35" s="163" t="str">
        <f t="shared" si="1"/>
        <v>Y</v>
      </c>
    </row>
    <row r="36" spans="3:10" ht="15.75">
      <c r="C36" s="79">
        <v>27</v>
      </c>
      <c r="D36" s="134" t="s">
        <v>106</v>
      </c>
      <c r="E36" s="142" t="s">
        <v>185</v>
      </c>
      <c r="F36" s="136">
        <v>24</v>
      </c>
      <c r="G36" s="136">
        <v>52</v>
      </c>
      <c r="H36" s="132">
        <f t="shared" si="0"/>
        <v>76</v>
      </c>
      <c r="I36" s="163" t="str">
        <f t="shared" si="1"/>
        <v>Y</v>
      </c>
      <c r="J36" s="10"/>
    </row>
    <row r="37" spans="3:10" ht="15.75">
      <c r="C37" s="79">
        <v>28</v>
      </c>
      <c r="D37" s="134" t="s">
        <v>107</v>
      </c>
      <c r="E37" s="142" t="s">
        <v>186</v>
      </c>
      <c r="F37" s="136">
        <v>23</v>
      </c>
      <c r="G37" s="136">
        <v>62</v>
      </c>
      <c r="H37" s="132">
        <f t="shared" si="0"/>
        <v>85</v>
      </c>
      <c r="I37" s="163" t="str">
        <f t="shared" si="1"/>
        <v>Y</v>
      </c>
    </row>
    <row r="38" spans="3:10" ht="24" customHeight="1">
      <c r="C38" s="79">
        <v>29</v>
      </c>
      <c r="D38" s="134" t="s">
        <v>108</v>
      </c>
      <c r="E38" s="138" t="s">
        <v>187</v>
      </c>
      <c r="F38" s="136">
        <v>21</v>
      </c>
      <c r="G38" s="136">
        <v>53</v>
      </c>
      <c r="H38" s="132">
        <f t="shared" si="0"/>
        <v>74</v>
      </c>
      <c r="I38" s="163" t="str">
        <f t="shared" si="1"/>
        <v>Y</v>
      </c>
      <c r="J38" s="10"/>
    </row>
    <row r="39" spans="3:10" ht="15.75">
      <c r="C39" s="79">
        <v>30</v>
      </c>
      <c r="D39" s="134" t="s">
        <v>109</v>
      </c>
      <c r="E39" s="142" t="s">
        <v>188</v>
      </c>
      <c r="F39" s="136">
        <v>23</v>
      </c>
      <c r="G39" s="136">
        <v>48</v>
      </c>
      <c r="H39" s="132">
        <f t="shared" si="0"/>
        <v>71</v>
      </c>
      <c r="I39" s="163" t="str">
        <f t="shared" si="1"/>
        <v>Y</v>
      </c>
    </row>
    <row r="40" spans="3:10" ht="15.75">
      <c r="C40" s="79">
        <v>31</v>
      </c>
      <c r="D40" s="134" t="s">
        <v>110</v>
      </c>
      <c r="E40" s="143" t="s">
        <v>189</v>
      </c>
      <c r="F40" s="136">
        <v>24</v>
      </c>
      <c r="G40" s="136">
        <v>49</v>
      </c>
      <c r="H40" s="132">
        <f t="shared" si="0"/>
        <v>73</v>
      </c>
      <c r="I40" s="163" t="str">
        <f t="shared" si="1"/>
        <v>Y</v>
      </c>
      <c r="J40" s="10"/>
    </row>
    <row r="41" spans="3:10" ht="15.75">
      <c r="C41" s="79">
        <v>32</v>
      </c>
      <c r="D41" s="134" t="s">
        <v>111</v>
      </c>
      <c r="E41" s="143" t="s">
        <v>190</v>
      </c>
      <c r="F41" s="136">
        <v>24</v>
      </c>
      <c r="G41" s="136">
        <v>46</v>
      </c>
      <c r="H41" s="132">
        <f t="shared" si="0"/>
        <v>70</v>
      </c>
      <c r="I41" s="163" t="str">
        <f t="shared" si="1"/>
        <v>Y</v>
      </c>
    </row>
    <row r="42" spans="3:10" ht="15.75">
      <c r="C42" s="79">
        <v>33</v>
      </c>
      <c r="D42" s="134" t="s">
        <v>112</v>
      </c>
      <c r="E42" s="138" t="s">
        <v>191</v>
      </c>
      <c r="F42" s="136">
        <v>29</v>
      </c>
      <c r="G42" s="136">
        <v>64</v>
      </c>
      <c r="H42" s="132">
        <f t="shared" si="0"/>
        <v>93</v>
      </c>
      <c r="I42" s="163" t="str">
        <f t="shared" si="1"/>
        <v>Y</v>
      </c>
      <c r="J42" s="10"/>
    </row>
    <row r="43" spans="3:10" ht="15.75">
      <c r="C43" s="79">
        <v>34</v>
      </c>
      <c r="D43" s="134" t="s">
        <v>113</v>
      </c>
      <c r="E43" s="138" t="s">
        <v>192</v>
      </c>
      <c r="F43" s="136">
        <v>24</v>
      </c>
      <c r="G43" s="136">
        <v>60</v>
      </c>
      <c r="H43" s="132">
        <f t="shared" si="0"/>
        <v>84</v>
      </c>
      <c r="I43" s="163" t="str">
        <f t="shared" si="1"/>
        <v>Y</v>
      </c>
    </row>
    <row r="44" spans="3:10" ht="16.5" thickBot="1">
      <c r="C44" s="79">
        <v>35</v>
      </c>
      <c r="D44" s="134" t="s">
        <v>114</v>
      </c>
      <c r="E44" s="138" t="s">
        <v>193</v>
      </c>
      <c r="F44" s="136">
        <v>17</v>
      </c>
      <c r="G44" s="136">
        <v>43</v>
      </c>
      <c r="H44" s="132">
        <f t="shared" si="0"/>
        <v>60</v>
      </c>
      <c r="I44" s="163" t="str">
        <f t="shared" si="1"/>
        <v>Y</v>
      </c>
      <c r="J44" s="10"/>
    </row>
    <row r="45" spans="3:10" ht="16.5" thickBot="1">
      <c r="C45" s="79">
        <v>36</v>
      </c>
      <c r="D45" s="144" t="s">
        <v>115</v>
      </c>
      <c r="E45" s="145" t="s">
        <v>194</v>
      </c>
      <c r="F45" s="136">
        <v>22</v>
      </c>
      <c r="G45" s="136">
        <v>48</v>
      </c>
      <c r="H45" s="132">
        <f t="shared" si="0"/>
        <v>70</v>
      </c>
      <c r="I45" s="163" t="str">
        <f t="shared" si="1"/>
        <v>Y</v>
      </c>
    </row>
    <row r="46" spans="3:10" ht="16.5" thickBot="1">
      <c r="C46" s="79">
        <v>37</v>
      </c>
      <c r="D46" s="146" t="s">
        <v>116</v>
      </c>
      <c r="E46" s="147" t="s">
        <v>195</v>
      </c>
      <c r="F46" s="148"/>
      <c r="G46" s="148"/>
      <c r="H46" s="148">
        <f t="shared" si="0"/>
        <v>0</v>
      </c>
      <c r="I46" s="163" t="str">
        <f t="shared" si="1"/>
        <v>N</v>
      </c>
      <c r="J46" s="10"/>
    </row>
    <row r="47" spans="3:10" ht="16.5" thickBot="1">
      <c r="C47" s="79">
        <v>38</v>
      </c>
      <c r="D47" s="149" t="s">
        <v>117</v>
      </c>
      <c r="E47" s="150" t="s">
        <v>196</v>
      </c>
      <c r="F47" s="136">
        <v>16</v>
      </c>
      <c r="G47" s="136">
        <v>50</v>
      </c>
      <c r="H47" s="132">
        <f t="shared" si="0"/>
        <v>66</v>
      </c>
      <c r="I47" s="163" t="str">
        <f t="shared" si="1"/>
        <v>Y</v>
      </c>
    </row>
    <row r="48" spans="3:10" ht="16.5" thickBot="1">
      <c r="C48" s="79">
        <v>39</v>
      </c>
      <c r="D48" s="149" t="s">
        <v>118</v>
      </c>
      <c r="E48" s="150" t="s">
        <v>197</v>
      </c>
      <c r="F48" s="136">
        <v>24</v>
      </c>
      <c r="G48" s="136">
        <v>52</v>
      </c>
      <c r="H48" s="132">
        <f t="shared" si="0"/>
        <v>76</v>
      </c>
      <c r="I48" s="163" t="str">
        <f t="shared" si="1"/>
        <v>Y</v>
      </c>
    </row>
    <row r="49" spans="3:10" ht="16.5" thickBot="1">
      <c r="C49" s="79">
        <v>40</v>
      </c>
      <c r="D49" s="149" t="s">
        <v>119</v>
      </c>
      <c r="E49" s="150" t="s">
        <v>198</v>
      </c>
      <c r="F49" s="136">
        <v>27</v>
      </c>
      <c r="G49" s="136">
        <v>56</v>
      </c>
      <c r="H49" s="132">
        <f t="shared" si="0"/>
        <v>83</v>
      </c>
      <c r="I49" s="163" t="str">
        <f t="shared" si="1"/>
        <v>Y</v>
      </c>
      <c r="J49" s="10"/>
    </row>
    <row r="50" spans="3:10" ht="12" customHeight="1" thickBot="1">
      <c r="C50" s="79">
        <v>41</v>
      </c>
      <c r="D50" s="149" t="s">
        <v>120</v>
      </c>
      <c r="E50" s="150" t="s">
        <v>199</v>
      </c>
      <c r="F50" s="136">
        <v>26</v>
      </c>
      <c r="G50" s="136">
        <v>46</v>
      </c>
      <c r="H50" s="132">
        <f t="shared" si="0"/>
        <v>72</v>
      </c>
      <c r="I50" s="163" t="str">
        <f t="shared" si="1"/>
        <v>Y</v>
      </c>
    </row>
    <row r="51" spans="3:10" ht="16.5" thickBot="1">
      <c r="C51" s="79">
        <v>42</v>
      </c>
      <c r="D51" s="149" t="s">
        <v>121</v>
      </c>
      <c r="E51" s="150" t="s">
        <v>200</v>
      </c>
      <c r="F51" s="136">
        <v>17</v>
      </c>
      <c r="G51" s="136">
        <v>54</v>
      </c>
      <c r="H51" s="132">
        <f t="shared" si="0"/>
        <v>71</v>
      </c>
      <c r="I51" s="163" t="str">
        <f t="shared" si="1"/>
        <v>Y</v>
      </c>
      <c r="J51" s="10"/>
    </row>
    <row r="52" spans="3:10" ht="15.75" customHeight="1" thickBot="1">
      <c r="C52" s="79">
        <v>43</v>
      </c>
      <c r="D52" s="149" t="s">
        <v>122</v>
      </c>
      <c r="E52" s="151" t="s">
        <v>201</v>
      </c>
      <c r="F52" s="136">
        <v>27</v>
      </c>
      <c r="G52" s="136">
        <v>61</v>
      </c>
      <c r="H52" s="132">
        <f t="shared" si="0"/>
        <v>88</v>
      </c>
      <c r="I52" s="163" t="str">
        <f t="shared" si="1"/>
        <v>Y</v>
      </c>
    </row>
    <row r="53" spans="3:10" ht="18.75" customHeight="1" thickBot="1">
      <c r="C53" s="79">
        <v>44</v>
      </c>
      <c r="D53" s="149" t="s">
        <v>123</v>
      </c>
      <c r="E53" s="150" t="s">
        <v>202</v>
      </c>
      <c r="F53" s="136">
        <v>20</v>
      </c>
      <c r="G53" s="136">
        <v>50</v>
      </c>
      <c r="H53" s="132">
        <f t="shared" si="0"/>
        <v>70</v>
      </c>
      <c r="I53" s="163" t="str">
        <f t="shared" si="1"/>
        <v>Y</v>
      </c>
    </row>
    <row r="54" spans="3:10" ht="16.5" thickBot="1">
      <c r="C54" s="79">
        <v>45</v>
      </c>
      <c r="D54" s="149" t="s">
        <v>124</v>
      </c>
      <c r="E54" s="150" t="s">
        <v>203</v>
      </c>
      <c r="F54" s="136">
        <v>12</v>
      </c>
      <c r="G54" s="136">
        <v>30</v>
      </c>
      <c r="H54" s="132">
        <f t="shared" si="0"/>
        <v>42</v>
      </c>
      <c r="I54" s="163" t="str">
        <f t="shared" si="1"/>
        <v>N</v>
      </c>
      <c r="J54" s="10"/>
    </row>
    <row r="55" spans="3:10" ht="16.5" thickBot="1">
      <c r="C55" s="79">
        <v>46</v>
      </c>
      <c r="D55" s="149" t="s">
        <v>125</v>
      </c>
      <c r="E55" s="150" t="s">
        <v>204</v>
      </c>
      <c r="F55" s="136">
        <v>18</v>
      </c>
      <c r="G55" s="136">
        <v>39</v>
      </c>
      <c r="H55" s="132">
        <f t="shared" si="0"/>
        <v>57</v>
      </c>
      <c r="I55" s="163" t="str">
        <f t="shared" si="1"/>
        <v>Y</v>
      </c>
    </row>
    <row r="56" spans="3:10" ht="16.5" thickBot="1">
      <c r="C56" s="79">
        <v>47</v>
      </c>
      <c r="D56" s="149" t="s">
        <v>126</v>
      </c>
      <c r="E56" s="150" t="s">
        <v>205</v>
      </c>
      <c r="F56" s="136">
        <v>22</v>
      </c>
      <c r="G56" s="136">
        <v>45</v>
      </c>
      <c r="H56" s="132">
        <f t="shared" si="0"/>
        <v>67</v>
      </c>
      <c r="I56" s="163" t="str">
        <f t="shared" si="1"/>
        <v>Y</v>
      </c>
      <c r="J56" s="10"/>
    </row>
    <row r="57" spans="3:10" ht="16.5" thickBot="1">
      <c r="C57" s="79">
        <v>48</v>
      </c>
      <c r="D57" s="149" t="s">
        <v>127</v>
      </c>
      <c r="E57" s="150" t="s">
        <v>206</v>
      </c>
      <c r="F57" s="136">
        <v>25</v>
      </c>
      <c r="G57" s="136">
        <v>53</v>
      </c>
      <c r="H57" s="132">
        <f t="shared" si="0"/>
        <v>78</v>
      </c>
      <c r="I57" s="163" t="str">
        <f t="shared" si="1"/>
        <v>Y</v>
      </c>
    </row>
    <row r="58" spans="3:10" ht="24" customHeight="1" thickBot="1">
      <c r="C58" s="79">
        <v>49</v>
      </c>
      <c r="D58" s="149" t="s">
        <v>128</v>
      </c>
      <c r="E58" s="150" t="s">
        <v>207</v>
      </c>
      <c r="F58" s="136">
        <v>21</v>
      </c>
      <c r="G58" s="136">
        <v>53</v>
      </c>
      <c r="H58" s="132">
        <f t="shared" si="0"/>
        <v>74</v>
      </c>
      <c r="I58" s="163" t="str">
        <f t="shared" si="1"/>
        <v>Y</v>
      </c>
    </row>
    <row r="59" spans="3:10" ht="16.5" thickBot="1">
      <c r="C59" s="79">
        <v>50</v>
      </c>
      <c r="D59" s="149" t="s">
        <v>129</v>
      </c>
      <c r="E59" s="150" t="s">
        <v>208</v>
      </c>
      <c r="F59" s="136">
        <v>20</v>
      </c>
      <c r="G59" s="136">
        <v>51</v>
      </c>
      <c r="H59" s="132">
        <f t="shared" si="0"/>
        <v>71</v>
      </c>
      <c r="I59" s="163" t="str">
        <f t="shared" si="1"/>
        <v>Y</v>
      </c>
      <c r="J59" s="10"/>
    </row>
    <row r="60" spans="3:10" ht="16.5" thickBot="1">
      <c r="C60" s="79">
        <v>51</v>
      </c>
      <c r="D60" s="149" t="s">
        <v>130</v>
      </c>
      <c r="E60" s="151" t="s">
        <v>209</v>
      </c>
      <c r="F60" s="136">
        <v>24</v>
      </c>
      <c r="G60" s="136">
        <v>51</v>
      </c>
      <c r="H60" s="132">
        <f t="shared" si="0"/>
        <v>75</v>
      </c>
      <c r="I60" s="163" t="str">
        <f t="shared" si="1"/>
        <v>Y</v>
      </c>
      <c r="J60" s="10"/>
    </row>
    <row r="61" spans="3:10" ht="16.5" thickBot="1">
      <c r="C61" s="79">
        <v>52</v>
      </c>
      <c r="D61" s="149" t="s">
        <v>131</v>
      </c>
      <c r="E61" s="150" t="s">
        <v>210</v>
      </c>
      <c r="F61" s="136">
        <v>14</v>
      </c>
      <c r="G61" s="136">
        <v>50</v>
      </c>
      <c r="H61" s="132">
        <f t="shared" si="0"/>
        <v>64</v>
      </c>
      <c r="I61" s="163" t="str">
        <f t="shared" si="1"/>
        <v>Y</v>
      </c>
      <c r="J61" s="10"/>
    </row>
    <row r="62" spans="3:10" ht="16.5" thickBot="1">
      <c r="C62" s="79">
        <v>53</v>
      </c>
      <c r="D62" s="149" t="s">
        <v>132</v>
      </c>
      <c r="E62" s="150" t="s">
        <v>211</v>
      </c>
      <c r="F62" s="136">
        <v>24</v>
      </c>
      <c r="G62" s="136">
        <v>41</v>
      </c>
      <c r="H62" s="132">
        <f t="shared" si="0"/>
        <v>65</v>
      </c>
      <c r="I62" s="163" t="str">
        <f t="shared" si="1"/>
        <v>Y</v>
      </c>
    </row>
    <row r="63" spans="3:10" ht="16.5" thickBot="1">
      <c r="C63" s="79">
        <v>54</v>
      </c>
      <c r="D63" s="149" t="s">
        <v>133</v>
      </c>
      <c r="E63" s="150" t="s">
        <v>212</v>
      </c>
      <c r="F63" s="136">
        <v>15</v>
      </c>
      <c r="G63" s="136">
        <v>41</v>
      </c>
      <c r="H63" s="132">
        <f t="shared" si="0"/>
        <v>56</v>
      </c>
      <c r="I63" s="163" t="str">
        <f t="shared" si="1"/>
        <v>Y</v>
      </c>
      <c r="J63" s="10"/>
    </row>
    <row r="64" spans="3:10" ht="16.5" thickBot="1">
      <c r="C64" s="79">
        <v>55</v>
      </c>
      <c r="D64" s="149" t="s">
        <v>134</v>
      </c>
      <c r="E64" s="150" t="s">
        <v>213</v>
      </c>
      <c r="F64" s="136">
        <v>19</v>
      </c>
      <c r="G64" s="136">
        <v>55</v>
      </c>
      <c r="H64" s="132">
        <f t="shared" si="0"/>
        <v>74</v>
      </c>
      <c r="I64" s="163" t="str">
        <f t="shared" si="1"/>
        <v>Y</v>
      </c>
      <c r="J64" s="10"/>
    </row>
    <row r="65" spans="3:10" ht="16.5" thickBot="1">
      <c r="C65" s="79">
        <v>56</v>
      </c>
      <c r="D65" s="149" t="s">
        <v>135</v>
      </c>
      <c r="E65" s="150" t="s">
        <v>214</v>
      </c>
      <c r="F65" s="136">
        <v>23</v>
      </c>
      <c r="G65" s="136">
        <v>33</v>
      </c>
      <c r="H65" s="132">
        <f t="shared" si="0"/>
        <v>56</v>
      </c>
      <c r="I65" s="163" t="str">
        <f t="shared" si="1"/>
        <v>Y</v>
      </c>
    </row>
    <row r="66" spans="3:10" ht="16.5" thickBot="1">
      <c r="C66" s="79">
        <v>57</v>
      </c>
      <c r="D66" s="149" t="s">
        <v>136</v>
      </c>
      <c r="E66" s="150" t="s">
        <v>215</v>
      </c>
      <c r="F66" s="136">
        <v>26</v>
      </c>
      <c r="G66" s="136">
        <v>52</v>
      </c>
      <c r="H66" s="132">
        <f t="shared" si="0"/>
        <v>78</v>
      </c>
      <c r="I66" s="163" t="str">
        <f t="shared" si="1"/>
        <v>Y</v>
      </c>
      <c r="J66" s="10"/>
    </row>
    <row r="67" spans="3:10" ht="16.5" thickBot="1">
      <c r="C67" s="79">
        <v>58</v>
      </c>
      <c r="D67" s="149" t="s">
        <v>137</v>
      </c>
      <c r="E67" s="150" t="s">
        <v>216</v>
      </c>
      <c r="F67" s="136">
        <v>14</v>
      </c>
      <c r="G67" s="136">
        <v>47</v>
      </c>
      <c r="H67" s="132">
        <f t="shared" si="0"/>
        <v>61</v>
      </c>
      <c r="I67" s="163" t="str">
        <f t="shared" si="1"/>
        <v>Y</v>
      </c>
    </row>
    <row r="68" spans="3:10" ht="16.5" thickBot="1">
      <c r="C68" s="79">
        <v>59</v>
      </c>
      <c r="D68" s="149" t="s">
        <v>138</v>
      </c>
      <c r="E68" s="150" t="s">
        <v>217</v>
      </c>
      <c r="F68" s="136">
        <v>18</v>
      </c>
      <c r="G68" s="136">
        <v>42</v>
      </c>
      <c r="H68" s="132">
        <f t="shared" si="0"/>
        <v>60</v>
      </c>
      <c r="I68" s="163" t="str">
        <f t="shared" si="1"/>
        <v>Y</v>
      </c>
      <c r="J68" s="10"/>
    </row>
    <row r="69" spans="3:10" ht="16.5" thickBot="1">
      <c r="C69" s="79">
        <v>60</v>
      </c>
      <c r="D69" s="149" t="s">
        <v>139</v>
      </c>
      <c r="E69" s="150" t="s">
        <v>218</v>
      </c>
      <c r="F69" s="136">
        <v>18</v>
      </c>
      <c r="G69" s="136">
        <v>45</v>
      </c>
      <c r="H69" s="132">
        <f t="shared" si="0"/>
        <v>63</v>
      </c>
      <c r="I69" s="163" t="str">
        <f t="shared" si="1"/>
        <v>Y</v>
      </c>
    </row>
    <row r="70" spans="3:10" ht="16.5" thickBot="1">
      <c r="C70" s="79">
        <v>61</v>
      </c>
      <c r="D70" s="152" t="s">
        <v>140</v>
      </c>
      <c r="E70" s="150" t="s">
        <v>219</v>
      </c>
      <c r="F70" s="136">
        <v>21</v>
      </c>
      <c r="G70" s="136">
        <v>30</v>
      </c>
      <c r="H70" s="132">
        <f t="shared" si="0"/>
        <v>51</v>
      </c>
      <c r="I70" s="163" t="str">
        <f t="shared" si="1"/>
        <v>Y</v>
      </c>
      <c r="J70" s="10"/>
    </row>
    <row r="71" spans="3:10" ht="16.5" thickBot="1">
      <c r="C71" s="79">
        <v>62</v>
      </c>
      <c r="D71" s="149" t="s">
        <v>141</v>
      </c>
      <c r="E71" s="150" t="s">
        <v>220</v>
      </c>
      <c r="F71" s="136">
        <v>19</v>
      </c>
      <c r="G71" s="136">
        <v>42</v>
      </c>
      <c r="H71" s="132">
        <f t="shared" si="0"/>
        <v>61</v>
      </c>
      <c r="I71" s="163" t="str">
        <f t="shared" si="1"/>
        <v>Y</v>
      </c>
      <c r="J71" s="10"/>
    </row>
    <row r="72" spans="3:10" ht="16.5" thickBot="1">
      <c r="C72" s="79">
        <v>63</v>
      </c>
      <c r="D72" s="149" t="s">
        <v>142</v>
      </c>
      <c r="E72" s="150" t="s">
        <v>221</v>
      </c>
      <c r="F72" s="136">
        <v>22</v>
      </c>
      <c r="G72" s="136">
        <v>48</v>
      </c>
      <c r="H72" s="132">
        <f t="shared" si="0"/>
        <v>70</v>
      </c>
      <c r="I72" s="163" t="str">
        <f t="shared" si="1"/>
        <v>Y</v>
      </c>
    </row>
    <row r="73" spans="3:10" ht="16.5" thickBot="1">
      <c r="C73" s="79">
        <v>64</v>
      </c>
      <c r="D73" s="149" t="s">
        <v>143</v>
      </c>
      <c r="E73" s="150" t="s">
        <v>222</v>
      </c>
      <c r="F73" s="136">
        <v>17</v>
      </c>
      <c r="G73" s="136">
        <v>51</v>
      </c>
      <c r="H73" s="132">
        <f t="shared" si="0"/>
        <v>68</v>
      </c>
      <c r="I73" s="163" t="str">
        <f t="shared" si="1"/>
        <v>Y</v>
      </c>
      <c r="J73" s="10"/>
    </row>
    <row r="74" spans="3:10" ht="16.5" thickBot="1">
      <c r="C74" s="79">
        <v>65</v>
      </c>
      <c r="D74" s="149" t="s">
        <v>144</v>
      </c>
      <c r="E74" s="150" t="s">
        <v>223</v>
      </c>
      <c r="F74" s="136">
        <v>24</v>
      </c>
      <c r="G74" s="136">
        <v>57</v>
      </c>
      <c r="H74" s="132">
        <f t="shared" si="0"/>
        <v>81</v>
      </c>
      <c r="I74" s="163" t="str">
        <f t="shared" si="1"/>
        <v>Y</v>
      </c>
      <c r="J74" s="10"/>
    </row>
    <row r="75" spans="3:10" ht="16.5" thickBot="1">
      <c r="C75" s="79">
        <v>66</v>
      </c>
      <c r="D75" s="149" t="s">
        <v>145</v>
      </c>
      <c r="E75" s="150" t="s">
        <v>224</v>
      </c>
      <c r="F75" s="136">
        <v>15</v>
      </c>
      <c r="G75" s="136">
        <v>38</v>
      </c>
      <c r="H75" s="132">
        <f t="shared" si="0"/>
        <v>53</v>
      </c>
      <c r="I75" s="163" t="str">
        <f t="shared" ref="I75:I90" si="2">IF(H75&gt;=49,"Y","N")</f>
        <v>Y</v>
      </c>
    </row>
    <row r="76" spans="3:10" ht="24" customHeight="1" thickBot="1">
      <c r="C76" s="79">
        <v>67</v>
      </c>
      <c r="D76" s="149" t="s">
        <v>146</v>
      </c>
      <c r="E76" s="150" t="s">
        <v>225</v>
      </c>
      <c r="F76" s="136">
        <v>12</v>
      </c>
      <c r="G76" s="136" t="s">
        <v>250</v>
      </c>
      <c r="H76" s="132">
        <f t="shared" si="0"/>
        <v>12</v>
      </c>
      <c r="I76" s="163" t="str">
        <f t="shared" si="2"/>
        <v>N</v>
      </c>
      <c r="J76" s="10"/>
    </row>
    <row r="77" spans="3:10" ht="16.5" thickBot="1">
      <c r="C77" s="79">
        <v>68</v>
      </c>
      <c r="D77" s="149" t="s">
        <v>147</v>
      </c>
      <c r="E77" s="150" t="s">
        <v>226</v>
      </c>
      <c r="F77" s="136">
        <v>16</v>
      </c>
      <c r="G77" s="136">
        <v>47</v>
      </c>
      <c r="H77" s="132">
        <f t="shared" si="0"/>
        <v>63</v>
      </c>
      <c r="I77" s="163" t="str">
        <f t="shared" si="2"/>
        <v>Y</v>
      </c>
    </row>
    <row r="78" spans="3:10" ht="16.5" thickBot="1">
      <c r="C78" s="79">
        <v>69</v>
      </c>
      <c r="D78" s="149" t="s">
        <v>148</v>
      </c>
      <c r="E78" s="150" t="s">
        <v>227</v>
      </c>
      <c r="F78" s="136">
        <v>22</v>
      </c>
      <c r="G78" s="136">
        <v>42</v>
      </c>
      <c r="H78" s="132">
        <f t="shared" si="0"/>
        <v>64</v>
      </c>
      <c r="I78" s="163" t="str">
        <f t="shared" si="2"/>
        <v>Y</v>
      </c>
      <c r="J78" s="10"/>
    </row>
    <row r="79" spans="3:10" ht="16.5" thickBot="1">
      <c r="C79" s="79">
        <v>70</v>
      </c>
      <c r="D79" s="149" t="s">
        <v>149</v>
      </c>
      <c r="E79" s="150" t="s">
        <v>228</v>
      </c>
      <c r="F79" s="136">
        <v>22</v>
      </c>
      <c r="G79" s="136">
        <v>34</v>
      </c>
      <c r="H79" s="132">
        <f t="shared" si="0"/>
        <v>56</v>
      </c>
      <c r="I79" s="163" t="str">
        <f t="shared" si="2"/>
        <v>Y</v>
      </c>
    </row>
    <row r="80" spans="3:10" ht="16.5" thickBot="1">
      <c r="C80" s="79">
        <v>71</v>
      </c>
      <c r="D80" s="149" t="s">
        <v>150</v>
      </c>
      <c r="E80" s="150" t="s">
        <v>229</v>
      </c>
      <c r="F80" s="136">
        <v>27</v>
      </c>
      <c r="G80" s="136">
        <v>54</v>
      </c>
      <c r="H80" s="132">
        <f t="shared" si="0"/>
        <v>81</v>
      </c>
      <c r="I80" s="163" t="str">
        <f t="shared" si="2"/>
        <v>Y</v>
      </c>
      <c r="J80" s="10"/>
    </row>
    <row r="81" spans="3:10" ht="16.5" thickBot="1">
      <c r="C81" s="79">
        <v>72</v>
      </c>
      <c r="D81" s="149" t="s">
        <v>151</v>
      </c>
      <c r="E81" s="150" t="s">
        <v>230</v>
      </c>
      <c r="F81" s="136">
        <v>17</v>
      </c>
      <c r="G81" s="136">
        <v>37</v>
      </c>
      <c r="H81" s="132">
        <f t="shared" si="0"/>
        <v>54</v>
      </c>
      <c r="I81" s="163" t="str">
        <f t="shared" si="2"/>
        <v>Y</v>
      </c>
    </row>
    <row r="82" spans="3:10" ht="16.5" thickBot="1">
      <c r="C82" s="79">
        <v>73</v>
      </c>
      <c r="D82" s="149" t="s">
        <v>231</v>
      </c>
      <c r="E82" s="150" t="s">
        <v>232</v>
      </c>
      <c r="F82" s="136">
        <v>15</v>
      </c>
      <c r="G82" s="136">
        <v>46</v>
      </c>
      <c r="H82" s="132">
        <f t="shared" si="0"/>
        <v>61</v>
      </c>
      <c r="I82" s="163" t="str">
        <f t="shared" si="2"/>
        <v>Y</v>
      </c>
      <c r="J82" s="10"/>
    </row>
    <row r="83" spans="3:10" ht="16.5" thickBot="1">
      <c r="C83" s="79">
        <v>74</v>
      </c>
      <c r="D83" s="149" t="s">
        <v>233</v>
      </c>
      <c r="E83" s="150" t="s">
        <v>234</v>
      </c>
      <c r="F83" s="136">
        <v>18</v>
      </c>
      <c r="G83" s="136">
        <v>47</v>
      </c>
      <c r="H83" s="132">
        <f t="shared" si="0"/>
        <v>65</v>
      </c>
      <c r="I83" s="163" t="str">
        <f t="shared" si="2"/>
        <v>Y</v>
      </c>
      <c r="J83" s="10"/>
    </row>
    <row r="84" spans="3:10" ht="16.5" thickBot="1">
      <c r="C84" s="79">
        <v>75</v>
      </c>
      <c r="D84" s="149" t="s">
        <v>235</v>
      </c>
      <c r="E84" s="150" t="s">
        <v>236</v>
      </c>
      <c r="F84" s="136">
        <v>28</v>
      </c>
      <c r="G84" s="136">
        <v>50</v>
      </c>
      <c r="H84" s="132">
        <f t="shared" si="0"/>
        <v>78</v>
      </c>
      <c r="I84" s="163" t="str">
        <f t="shared" si="2"/>
        <v>Y</v>
      </c>
      <c r="J84" s="10"/>
    </row>
    <row r="85" spans="3:10" ht="16.5" thickBot="1">
      <c r="C85" s="79">
        <v>76</v>
      </c>
      <c r="D85" s="149" t="s">
        <v>237</v>
      </c>
      <c r="E85" s="150" t="s">
        <v>238</v>
      </c>
      <c r="F85" s="136">
        <v>29</v>
      </c>
      <c r="G85" s="136">
        <v>52</v>
      </c>
      <c r="H85" s="132">
        <f t="shared" si="0"/>
        <v>81</v>
      </c>
      <c r="I85" s="163" t="str">
        <f t="shared" si="2"/>
        <v>Y</v>
      </c>
      <c r="J85" s="10"/>
    </row>
    <row r="86" spans="3:10" ht="16.5" thickBot="1">
      <c r="C86" s="79">
        <v>77</v>
      </c>
      <c r="D86" s="149" t="s">
        <v>239</v>
      </c>
      <c r="E86" s="150" t="s">
        <v>240</v>
      </c>
      <c r="F86" s="136">
        <v>16</v>
      </c>
      <c r="G86" s="136">
        <v>39</v>
      </c>
      <c r="H86" s="132">
        <f t="shared" si="0"/>
        <v>55</v>
      </c>
      <c r="I86" s="163" t="str">
        <f t="shared" si="2"/>
        <v>Y</v>
      </c>
      <c r="J86" s="10"/>
    </row>
    <row r="87" spans="3:10" ht="12.75" customHeight="1" thickBot="1">
      <c r="C87" s="79">
        <v>78</v>
      </c>
      <c r="D87" s="149" t="s">
        <v>241</v>
      </c>
      <c r="E87" s="150" t="s">
        <v>242</v>
      </c>
      <c r="F87" s="136">
        <v>22</v>
      </c>
      <c r="G87" s="136">
        <v>42</v>
      </c>
      <c r="H87" s="132">
        <f t="shared" si="0"/>
        <v>64</v>
      </c>
      <c r="I87" s="163" t="str">
        <f t="shared" si="2"/>
        <v>Y</v>
      </c>
      <c r="J87" s="10"/>
    </row>
    <row r="88" spans="3:10" ht="12.75" customHeight="1" thickBot="1">
      <c r="C88" s="79">
        <v>79</v>
      </c>
      <c r="D88" s="149" t="s">
        <v>243</v>
      </c>
      <c r="E88" s="150" t="s">
        <v>244</v>
      </c>
      <c r="F88" s="136">
        <v>29</v>
      </c>
      <c r="G88" s="136">
        <v>50</v>
      </c>
      <c r="H88" s="132">
        <f t="shared" si="0"/>
        <v>79</v>
      </c>
      <c r="I88" s="163" t="str">
        <f t="shared" si="2"/>
        <v>Y</v>
      </c>
      <c r="J88" s="10"/>
    </row>
    <row r="89" spans="3:10" ht="12.75" customHeight="1" thickBot="1">
      <c r="C89" s="79">
        <v>80</v>
      </c>
      <c r="D89" s="149" t="s">
        <v>245</v>
      </c>
      <c r="E89" s="150" t="s">
        <v>246</v>
      </c>
      <c r="F89" s="136">
        <v>22</v>
      </c>
      <c r="G89" s="136">
        <v>41</v>
      </c>
      <c r="H89" s="132">
        <f t="shared" si="0"/>
        <v>63</v>
      </c>
      <c r="I89" s="163" t="str">
        <f t="shared" si="2"/>
        <v>Y</v>
      </c>
      <c r="J89" s="10"/>
    </row>
    <row r="90" spans="3:10" ht="16.5" thickBot="1">
      <c r="C90" s="79">
        <v>81</v>
      </c>
      <c r="D90" s="149" t="s">
        <v>247</v>
      </c>
      <c r="E90" s="150" t="s">
        <v>248</v>
      </c>
      <c r="F90" s="136">
        <v>25</v>
      </c>
      <c r="G90" s="136">
        <v>50</v>
      </c>
      <c r="H90" s="132">
        <f t="shared" si="0"/>
        <v>75</v>
      </c>
      <c r="I90" s="163" t="str">
        <f t="shared" si="2"/>
        <v>Y</v>
      </c>
    </row>
    <row r="91" spans="3:10" ht="15.75">
      <c r="C91" s="80"/>
      <c r="D91" s="153" t="s">
        <v>32</v>
      </c>
      <c r="E91" s="154"/>
      <c r="F91" s="155">
        <v>81</v>
      </c>
      <c r="G91" s="156"/>
      <c r="H91" s="133"/>
      <c r="I91" s="10"/>
    </row>
    <row r="92" spans="3:10" ht="15.75">
      <c r="D92" s="72" t="s">
        <v>75</v>
      </c>
      <c r="E92" s="73"/>
      <c r="F92" s="15">
        <f>SUM(H10:H90)</f>
        <v>5440</v>
      </c>
    </row>
    <row r="93" spans="3:10" ht="15.75">
      <c r="D93" s="74" t="s">
        <v>44</v>
      </c>
      <c r="E93" s="75"/>
      <c r="F93" s="15">
        <v>49</v>
      </c>
    </row>
    <row r="94" spans="3:10" ht="15.75">
      <c r="D94" s="74" t="s">
        <v>45</v>
      </c>
      <c r="E94" s="75"/>
      <c r="F94" s="49">
        <f>F93/F91</f>
        <v>0.60493827160493829</v>
      </c>
    </row>
    <row r="95" spans="3:10" ht="15.75">
      <c r="D95" s="72" t="s">
        <v>46</v>
      </c>
      <c r="E95" s="73"/>
      <c r="F95" s="15">
        <v>2</v>
      </c>
    </row>
    <row r="99" spans="2:5">
      <c r="B99" s="50"/>
      <c r="C99" s="51"/>
      <c r="D99" s="51"/>
      <c r="E99" s="52"/>
    </row>
  </sheetData>
  <mergeCells count="2">
    <mergeCell ref="D2:H2"/>
    <mergeCell ref="D3:E3"/>
  </mergeCells>
  <conditionalFormatting sqref="H10:H90">
    <cfRule type="colorScale" priority="1">
      <colorScale>
        <cfvo type="min" val="0"/>
        <cfvo type="max" val="0"/>
        <color rgb="FF57BB8A"/>
        <color rgb="FFFFFFFF"/>
      </colorScale>
    </cfRule>
  </conditionalFormatting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W881"/>
  <sheetViews>
    <sheetView topLeftCell="C88" zoomScale="95" zoomScaleNormal="95" workbookViewId="0">
      <pane xSplit="3" topLeftCell="F1" activePane="topRight" state="frozen"/>
      <selection activeCell="C1" sqref="C1"/>
      <selection pane="topRight" activeCell="G104" sqref="G104"/>
    </sheetView>
  </sheetViews>
  <sheetFormatPr defaultRowHeight="15"/>
  <cols>
    <col min="4" max="4" width="23.42578125" customWidth="1"/>
    <col min="5" max="5" width="43.140625" customWidth="1"/>
    <col min="6" max="6" width="12.7109375" customWidth="1"/>
    <col min="7" max="7" width="15.85546875" customWidth="1"/>
    <col min="8" max="8" width="12.7109375" customWidth="1"/>
    <col min="9" max="9" width="14.28515625" customWidth="1"/>
    <col min="10" max="10" width="16.7109375" customWidth="1"/>
    <col min="11" max="11" width="16.140625" customWidth="1"/>
    <col min="12" max="12" width="15.42578125" customWidth="1"/>
    <col min="13" max="13" width="14.28515625" customWidth="1"/>
    <col min="14" max="14" width="17.5703125" customWidth="1"/>
    <col min="15" max="15" width="13.7109375" hidden="1" customWidth="1"/>
    <col min="16" max="16" width="9.5703125" hidden="1" customWidth="1"/>
    <col min="17" max="17" width="12.28515625" hidden="1" customWidth="1"/>
    <col min="18" max="18" width="9.140625" hidden="1" customWidth="1"/>
    <col min="19" max="19" width="12.7109375" customWidth="1"/>
    <col min="20" max="20" width="9.140625" customWidth="1"/>
    <col min="21" max="21" width="19.7109375" customWidth="1"/>
    <col min="22" max="22" width="17.42578125" customWidth="1"/>
    <col min="23" max="23" width="9.140625" customWidth="1"/>
  </cols>
  <sheetData>
    <row r="2" spans="2:23" ht="21" customHeight="1">
      <c r="D2" s="166" t="s">
        <v>35</v>
      </c>
      <c r="E2" s="166"/>
      <c r="F2" s="166"/>
      <c r="G2" s="166"/>
      <c r="H2" s="166"/>
      <c r="I2" s="166"/>
      <c r="J2" s="166"/>
      <c r="K2" s="166"/>
    </row>
    <row r="3" spans="2:23">
      <c r="I3" s="44"/>
      <c r="J3" s="44"/>
      <c r="K3" s="44"/>
    </row>
    <row r="4" spans="2:23" s="2" customFormat="1" ht="24.95" customHeight="1" thickBot="1">
      <c r="B4" s="19"/>
      <c r="C4" s="19"/>
      <c r="D4" s="165"/>
      <c r="E4" s="165"/>
      <c r="I4" s="167"/>
      <c r="J4" s="167"/>
      <c r="K4" s="167"/>
    </row>
    <row r="5" spans="2:23" s="2" customFormat="1" ht="24.95" customHeight="1" thickBot="1">
      <c r="B5" s="20"/>
      <c r="C5" s="20"/>
      <c r="D5" s="34" t="s">
        <v>0</v>
      </c>
      <c r="E5" s="3" t="s">
        <v>42</v>
      </c>
      <c r="F5" s="34" t="s">
        <v>1</v>
      </c>
      <c r="G5" s="37" t="s">
        <v>152</v>
      </c>
      <c r="H5" s="1"/>
      <c r="I5" s="167"/>
      <c r="J5" s="167"/>
      <c r="K5" s="167"/>
    </row>
    <row r="6" spans="2:23" s="2" customFormat="1" ht="24.95" customHeight="1" thickBot="1">
      <c r="B6" s="20"/>
      <c r="C6" s="20"/>
      <c r="D6" s="34" t="s">
        <v>2</v>
      </c>
      <c r="E6" s="78" t="s">
        <v>76</v>
      </c>
      <c r="F6" s="34" t="s">
        <v>3</v>
      </c>
      <c r="G6" s="37">
        <v>310251</v>
      </c>
      <c r="H6" s="1"/>
      <c r="I6" s="167"/>
      <c r="J6" s="167"/>
      <c r="K6" s="167"/>
    </row>
    <row r="7" spans="2:23" ht="18.75" customHeight="1" thickBot="1">
      <c r="B7" s="13"/>
      <c r="C7" s="13"/>
      <c r="D7" s="14" t="s">
        <v>4</v>
      </c>
      <c r="E7" s="5" t="s">
        <v>153</v>
      </c>
      <c r="F7" s="6" t="s">
        <v>11</v>
      </c>
      <c r="G7" s="7" t="s">
        <v>77</v>
      </c>
      <c r="H7" s="1"/>
    </row>
    <row r="8" spans="2:23" ht="22.5" customHeight="1">
      <c r="B8" s="13"/>
      <c r="C8" s="13"/>
      <c r="D8" s="164" t="s">
        <v>18</v>
      </c>
      <c r="E8" s="164"/>
      <c r="F8" s="164"/>
      <c r="G8" s="164"/>
      <c r="H8" s="164"/>
      <c r="I8" s="164"/>
      <c r="J8" s="164"/>
      <c r="K8" s="164"/>
    </row>
    <row r="10" spans="2:23" ht="20.100000000000001" customHeight="1">
      <c r="B10" s="171" t="s">
        <v>5</v>
      </c>
      <c r="C10" s="173" t="s">
        <v>5</v>
      </c>
      <c r="D10" s="172" t="s">
        <v>6</v>
      </c>
      <c r="E10" s="172" t="s">
        <v>7</v>
      </c>
      <c r="F10" s="168" t="s">
        <v>72</v>
      </c>
      <c r="G10" s="169"/>
      <c r="H10" s="169"/>
      <c r="I10" s="170"/>
      <c r="J10" s="168" t="s">
        <v>19</v>
      </c>
      <c r="K10" s="169"/>
      <c r="L10" s="169"/>
      <c r="M10" s="170"/>
      <c r="N10" s="168" t="s">
        <v>73</v>
      </c>
      <c r="O10" s="169"/>
      <c r="P10" s="169"/>
      <c r="Q10" s="169"/>
      <c r="R10" s="169"/>
      <c r="S10" s="169"/>
      <c r="T10" s="169"/>
      <c r="U10" s="170"/>
    </row>
    <row r="11" spans="2:23" ht="20.100000000000001" customHeight="1">
      <c r="B11" s="171"/>
      <c r="C11" s="174"/>
      <c r="D11" s="172"/>
      <c r="E11" s="172"/>
      <c r="F11" s="21" t="s">
        <v>20</v>
      </c>
      <c r="G11" s="185" t="s">
        <v>21</v>
      </c>
      <c r="H11" s="21" t="s">
        <v>22</v>
      </c>
      <c r="I11" s="185" t="s">
        <v>21</v>
      </c>
      <c r="J11" s="47" t="s">
        <v>43</v>
      </c>
      <c r="K11" s="178" t="s">
        <v>23</v>
      </c>
      <c r="L11" s="47" t="s">
        <v>22</v>
      </c>
      <c r="M11" s="178" t="s">
        <v>21</v>
      </c>
      <c r="N11" s="47" t="s">
        <v>74</v>
      </c>
      <c r="O11" s="179" t="s">
        <v>21</v>
      </c>
      <c r="P11" s="47" t="s">
        <v>24</v>
      </c>
      <c r="Q11" s="181" t="s">
        <v>23</v>
      </c>
      <c r="S11" s="176" t="s">
        <v>23</v>
      </c>
      <c r="T11" s="47" t="s">
        <v>22</v>
      </c>
      <c r="U11" s="176" t="s">
        <v>23</v>
      </c>
    </row>
    <row r="12" spans="2:23" ht="20.100000000000001" customHeight="1">
      <c r="B12" s="171"/>
      <c r="C12" s="175"/>
      <c r="D12" s="172"/>
      <c r="E12" s="172"/>
      <c r="F12" s="21" t="s">
        <v>12</v>
      </c>
      <c r="G12" s="176"/>
      <c r="H12" s="21" t="s">
        <v>13</v>
      </c>
      <c r="I12" s="176"/>
      <c r="J12" s="21" t="s">
        <v>14</v>
      </c>
      <c r="K12" s="176"/>
      <c r="L12" s="21" t="s">
        <v>15</v>
      </c>
      <c r="M12" s="176"/>
      <c r="N12" s="21" t="s">
        <v>16</v>
      </c>
      <c r="O12" s="180"/>
      <c r="P12" s="21" t="s">
        <v>17</v>
      </c>
      <c r="Q12" s="182"/>
      <c r="S12" s="177"/>
      <c r="T12" s="21" t="s">
        <v>17</v>
      </c>
      <c r="U12" s="177"/>
    </row>
    <row r="13" spans="2:23" s="24" customFormat="1" ht="18" customHeight="1">
      <c r="B13" s="15" t="e">
        <f>'[1]CO meet M or N'!B14</f>
        <v>#REF!</v>
      </c>
      <c r="C13" s="15">
        <v>1</v>
      </c>
      <c r="D13" s="114" t="s">
        <v>78</v>
      </c>
      <c r="E13" s="115" t="s">
        <v>161</v>
      </c>
      <c r="F13" s="18">
        <v>8</v>
      </c>
      <c r="G13" s="22" t="str">
        <f>IF(F13="","NA",IF(F13&gt;=6,"Y","N"))</f>
        <v>Y</v>
      </c>
      <c r="H13" s="18">
        <v>4</v>
      </c>
      <c r="I13" s="22" t="str">
        <f>IF(H13="","NA",IF(H13&gt;=6,"Y","N"))</f>
        <v>N</v>
      </c>
      <c r="J13" s="18">
        <v>5</v>
      </c>
      <c r="K13" s="22" t="str">
        <f>IF(J13="","NA",IF(J13&gt;=6,"Y","N"))</f>
        <v>N</v>
      </c>
      <c r="L13" s="18">
        <v>0</v>
      </c>
      <c r="M13" s="22" t="str">
        <f>IF(L13="","NA",IF(L13&gt;=6,"Y","N"))</f>
        <v>N</v>
      </c>
      <c r="N13" s="18">
        <v>8</v>
      </c>
      <c r="O13" s="22" t="str">
        <f>IF(N13="","NA",IF(N13&gt;=6,"Y","N"))</f>
        <v>Y</v>
      </c>
      <c r="P13" s="18"/>
      <c r="Q13" s="22" t="str">
        <f>IF(P13="","NA",IF(P13&gt;=6,"Y","N"))</f>
        <v>NA</v>
      </c>
      <c r="R13" s="23"/>
      <c r="S13" s="22" t="str">
        <f>IF(N13="","NA",IF(N13&gt;=6,"Y","N"))</f>
        <v>Y</v>
      </c>
      <c r="T13" s="18">
        <v>8</v>
      </c>
      <c r="U13" s="22" t="str">
        <f>IF(T13="","NA",IF(T13&gt;=6,"Y","N"))</f>
        <v>Y</v>
      </c>
      <c r="V13"/>
      <c r="W13"/>
    </row>
    <row r="14" spans="2:23" s="24" customFormat="1" ht="18" customHeight="1">
      <c r="B14" s="15" t="e">
        <f>'[1]CO meet M or N'!B15</f>
        <v>#REF!</v>
      </c>
      <c r="C14" s="15">
        <v>2</v>
      </c>
      <c r="D14" s="114" t="s">
        <v>79</v>
      </c>
      <c r="E14" s="115" t="s">
        <v>162</v>
      </c>
      <c r="F14" s="18">
        <v>9</v>
      </c>
      <c r="G14" s="22" t="str">
        <f t="shared" ref="G14:G77" si="0">IF(F14="","NA",IF(F14&gt;=6,"Y","N"))</f>
        <v>Y</v>
      </c>
      <c r="H14" s="18">
        <v>9</v>
      </c>
      <c r="I14" s="22" t="str">
        <f t="shared" ref="I14:I77" si="1">IF(H14="","NA",IF(H14&gt;=6,"Y","N"))</f>
        <v>Y</v>
      </c>
      <c r="J14" s="18">
        <v>6</v>
      </c>
      <c r="K14" s="22" t="str">
        <f t="shared" ref="K14:K77" si="2">IF(J14="","NA",IF(J14&gt;=6,"Y","N"))</f>
        <v>Y</v>
      </c>
      <c r="L14" s="18">
        <v>4</v>
      </c>
      <c r="M14" s="22" t="str">
        <f t="shared" ref="M14:M77" si="3">IF(L14="","NA",IF(L14&gt;=6,"Y","N"))</f>
        <v>N</v>
      </c>
      <c r="N14" s="18">
        <v>7</v>
      </c>
      <c r="O14" s="22"/>
      <c r="P14" s="18"/>
      <c r="Q14" s="22"/>
      <c r="R14" s="23"/>
      <c r="S14" s="22" t="str">
        <f t="shared" ref="S14:S77" si="4">IF(N14="","NA",IF(N14&gt;=6,"Y","N"))</f>
        <v>Y</v>
      </c>
      <c r="T14" s="18">
        <v>7</v>
      </c>
      <c r="U14" s="22" t="str">
        <f t="shared" ref="U14:U77" si="5">IF(T14="","NA",IF(T14&gt;=6,"Y","N"))</f>
        <v>Y</v>
      </c>
      <c r="V14"/>
      <c r="W14"/>
    </row>
    <row r="15" spans="2:23" s="24" customFormat="1" ht="18" customHeight="1">
      <c r="B15" s="15" t="e">
        <f>'[1]CO meet M or N'!B16</f>
        <v>#REF!</v>
      </c>
      <c r="C15" s="15">
        <v>3</v>
      </c>
      <c r="D15" s="114" t="s">
        <v>80</v>
      </c>
      <c r="E15" s="115" t="s">
        <v>163</v>
      </c>
      <c r="F15" s="18">
        <v>8</v>
      </c>
      <c r="G15" s="22" t="str">
        <f t="shared" si="0"/>
        <v>Y</v>
      </c>
      <c r="H15" s="18">
        <v>6</v>
      </c>
      <c r="I15" s="22" t="str">
        <f t="shared" si="1"/>
        <v>Y</v>
      </c>
      <c r="J15" s="18">
        <v>4</v>
      </c>
      <c r="K15" s="22" t="str">
        <f t="shared" si="2"/>
        <v>N</v>
      </c>
      <c r="L15" s="18">
        <v>6</v>
      </c>
      <c r="M15" s="22" t="str">
        <f t="shared" si="3"/>
        <v>Y</v>
      </c>
      <c r="N15" s="18">
        <v>8</v>
      </c>
      <c r="O15" s="22"/>
      <c r="P15" s="18"/>
      <c r="Q15" s="22"/>
      <c r="R15" s="23"/>
      <c r="S15" s="22" t="str">
        <f t="shared" si="4"/>
        <v>Y</v>
      </c>
      <c r="T15" s="18">
        <v>8</v>
      </c>
      <c r="U15" s="22" t="str">
        <f t="shared" si="5"/>
        <v>Y</v>
      </c>
      <c r="V15"/>
      <c r="W15"/>
    </row>
    <row r="16" spans="2:23" s="24" customFormat="1" ht="18" customHeight="1">
      <c r="B16" s="15" t="e">
        <f>'[1]CO meet M or N'!B17</f>
        <v>#REF!</v>
      </c>
      <c r="C16" s="15">
        <v>4</v>
      </c>
      <c r="D16" s="114" t="s">
        <v>81</v>
      </c>
      <c r="E16" s="115" t="s">
        <v>164</v>
      </c>
      <c r="F16" s="18">
        <v>7</v>
      </c>
      <c r="G16" s="22" t="str">
        <f t="shared" si="0"/>
        <v>Y</v>
      </c>
      <c r="H16" s="18">
        <v>10</v>
      </c>
      <c r="I16" s="22" t="str">
        <f t="shared" si="1"/>
        <v>Y</v>
      </c>
      <c r="J16" s="18">
        <v>10</v>
      </c>
      <c r="K16" s="22" t="str">
        <f t="shared" si="2"/>
        <v>Y</v>
      </c>
      <c r="L16" s="18">
        <v>5</v>
      </c>
      <c r="M16" s="22" t="str">
        <f t="shared" si="3"/>
        <v>N</v>
      </c>
      <c r="N16" s="18">
        <v>8</v>
      </c>
      <c r="O16" s="22"/>
      <c r="P16" s="18"/>
      <c r="Q16" s="22"/>
      <c r="R16" s="23"/>
      <c r="S16" s="22" t="str">
        <f t="shared" si="4"/>
        <v>Y</v>
      </c>
      <c r="T16" s="18">
        <v>8</v>
      </c>
      <c r="U16" s="22" t="str">
        <f t="shared" si="5"/>
        <v>Y</v>
      </c>
      <c r="V16"/>
      <c r="W16"/>
    </row>
    <row r="17" spans="2:23" s="24" customFormat="1" ht="18" customHeight="1">
      <c r="B17" s="15" t="e">
        <f>'[1]CO meet M or N'!B18</f>
        <v>#REF!</v>
      </c>
      <c r="C17" s="15">
        <v>5</v>
      </c>
      <c r="D17" s="114" t="s">
        <v>82</v>
      </c>
      <c r="E17" s="115" t="s">
        <v>165</v>
      </c>
      <c r="F17" s="18">
        <v>10</v>
      </c>
      <c r="G17" s="22" t="str">
        <f t="shared" si="0"/>
        <v>Y</v>
      </c>
      <c r="H17" s="18">
        <v>10</v>
      </c>
      <c r="I17" s="22" t="str">
        <f t="shared" si="1"/>
        <v>Y</v>
      </c>
      <c r="J17" s="18">
        <v>6</v>
      </c>
      <c r="K17" s="22" t="str">
        <f t="shared" si="2"/>
        <v>Y</v>
      </c>
      <c r="L17" s="18">
        <v>4</v>
      </c>
      <c r="M17" s="22" t="str">
        <f t="shared" si="3"/>
        <v>N</v>
      </c>
      <c r="N17" s="18">
        <v>10</v>
      </c>
      <c r="O17" s="22"/>
      <c r="P17" s="18"/>
      <c r="Q17" s="22"/>
      <c r="R17" s="23"/>
      <c r="S17" s="22" t="str">
        <f t="shared" si="4"/>
        <v>Y</v>
      </c>
      <c r="T17" s="18">
        <v>10</v>
      </c>
      <c r="U17" s="22" t="str">
        <f t="shared" si="5"/>
        <v>Y</v>
      </c>
      <c r="V17"/>
      <c r="W17"/>
    </row>
    <row r="18" spans="2:23" s="24" customFormat="1" ht="18" customHeight="1">
      <c r="B18" s="15" t="e">
        <f>'[1]CO meet M or N'!B19</f>
        <v>#REF!</v>
      </c>
      <c r="C18" s="15">
        <v>6</v>
      </c>
      <c r="D18" s="114" t="s">
        <v>83</v>
      </c>
      <c r="E18" s="115" t="s">
        <v>166</v>
      </c>
      <c r="F18" s="67">
        <v>10</v>
      </c>
      <c r="G18" s="22" t="str">
        <f t="shared" si="0"/>
        <v>Y</v>
      </c>
      <c r="H18" s="18">
        <v>10</v>
      </c>
      <c r="I18" s="22" t="str">
        <f t="shared" si="1"/>
        <v>Y</v>
      </c>
      <c r="J18" s="18">
        <v>6</v>
      </c>
      <c r="K18" s="22" t="str">
        <f t="shared" si="2"/>
        <v>Y</v>
      </c>
      <c r="L18" s="18">
        <v>6</v>
      </c>
      <c r="M18" s="22" t="str">
        <f t="shared" si="3"/>
        <v>Y</v>
      </c>
      <c r="N18" s="18">
        <v>7</v>
      </c>
      <c r="O18" s="22"/>
      <c r="P18" s="18"/>
      <c r="Q18" s="22"/>
      <c r="R18" s="23"/>
      <c r="S18" s="22" t="str">
        <f t="shared" si="4"/>
        <v>Y</v>
      </c>
      <c r="T18" s="18">
        <v>7</v>
      </c>
      <c r="U18" s="22" t="str">
        <f t="shared" si="5"/>
        <v>Y</v>
      </c>
      <c r="V18"/>
      <c r="W18"/>
    </row>
    <row r="19" spans="2:23" s="24" customFormat="1" ht="18" customHeight="1">
      <c r="B19" s="15" t="e">
        <f>'[1]CO meet M or N'!B20</f>
        <v>#REF!</v>
      </c>
      <c r="C19" s="15">
        <v>7</v>
      </c>
      <c r="D19" s="114" t="s">
        <v>85</v>
      </c>
      <c r="E19" s="115" t="s">
        <v>167</v>
      </c>
      <c r="F19" s="18">
        <v>6</v>
      </c>
      <c r="G19" s="22" t="str">
        <f t="shared" si="0"/>
        <v>Y</v>
      </c>
      <c r="H19" s="18">
        <v>3</v>
      </c>
      <c r="I19" s="22" t="str">
        <f t="shared" si="1"/>
        <v>N</v>
      </c>
      <c r="J19" s="18">
        <v>6</v>
      </c>
      <c r="K19" s="22" t="str">
        <f t="shared" si="2"/>
        <v>Y</v>
      </c>
      <c r="L19" s="18">
        <v>6</v>
      </c>
      <c r="M19" s="22" t="str">
        <f t="shared" si="3"/>
        <v>Y</v>
      </c>
      <c r="N19" s="18">
        <v>7</v>
      </c>
      <c r="O19" s="22"/>
      <c r="P19" s="18"/>
      <c r="Q19" s="22"/>
      <c r="R19" s="23"/>
      <c r="S19" s="22" t="str">
        <f t="shared" si="4"/>
        <v>Y</v>
      </c>
      <c r="T19" s="18">
        <v>6</v>
      </c>
      <c r="U19" s="22" t="str">
        <f t="shared" si="5"/>
        <v>Y</v>
      </c>
      <c r="V19"/>
      <c r="W19"/>
    </row>
    <row r="20" spans="2:23" s="24" customFormat="1" ht="18" customHeight="1">
      <c r="B20" s="15" t="e">
        <f>'[1]CO meet M or N'!B21</f>
        <v>#REF!</v>
      </c>
      <c r="C20" s="15">
        <v>8</v>
      </c>
      <c r="D20" s="114" t="s">
        <v>86</v>
      </c>
      <c r="E20" s="116" t="s">
        <v>84</v>
      </c>
      <c r="F20" s="111" t="s">
        <v>251</v>
      </c>
      <c r="G20" s="22" t="str">
        <f t="shared" si="0"/>
        <v>Y</v>
      </c>
      <c r="H20" s="111" t="s">
        <v>251</v>
      </c>
      <c r="I20" s="22" t="str">
        <f t="shared" si="1"/>
        <v>Y</v>
      </c>
      <c r="J20" s="111" t="s">
        <v>251</v>
      </c>
      <c r="K20" s="22" t="str">
        <f t="shared" si="2"/>
        <v>Y</v>
      </c>
      <c r="L20" s="111" t="s">
        <v>251</v>
      </c>
      <c r="M20" s="22" t="str">
        <f t="shared" si="3"/>
        <v>Y</v>
      </c>
      <c r="N20" s="111" t="s">
        <v>251</v>
      </c>
      <c r="O20" s="22"/>
      <c r="P20" s="18"/>
      <c r="Q20" s="22"/>
      <c r="R20" s="23"/>
      <c r="S20" s="22" t="str">
        <f t="shared" si="4"/>
        <v>Y</v>
      </c>
      <c r="T20" s="111" t="s">
        <v>251</v>
      </c>
      <c r="U20" s="22" t="s">
        <v>28</v>
      </c>
      <c r="V20"/>
      <c r="W20"/>
    </row>
    <row r="21" spans="2:23" s="24" customFormat="1" ht="18" customHeight="1">
      <c r="B21" s="15" t="e">
        <f>'[1]CO meet M or N'!B22</f>
        <v>#REF!</v>
      </c>
      <c r="C21" s="15">
        <v>9</v>
      </c>
      <c r="D21" s="114" t="s">
        <v>87</v>
      </c>
      <c r="E21" s="116" t="s">
        <v>168</v>
      </c>
      <c r="F21" s="16">
        <v>10</v>
      </c>
      <c r="G21" s="22" t="str">
        <f t="shared" si="0"/>
        <v>Y</v>
      </c>
      <c r="H21" s="16">
        <v>5</v>
      </c>
      <c r="I21" s="22" t="str">
        <f t="shared" si="1"/>
        <v>N</v>
      </c>
      <c r="J21" s="18">
        <v>6</v>
      </c>
      <c r="K21" s="22" t="str">
        <f t="shared" si="2"/>
        <v>Y</v>
      </c>
      <c r="L21" s="18">
        <v>6</v>
      </c>
      <c r="M21" s="22" t="str">
        <f t="shared" si="3"/>
        <v>Y</v>
      </c>
      <c r="N21" s="18">
        <v>8</v>
      </c>
      <c r="O21" s="22"/>
      <c r="P21" s="18"/>
      <c r="Q21" s="22"/>
      <c r="R21" s="23"/>
      <c r="S21" s="22" t="str">
        <f t="shared" si="4"/>
        <v>Y</v>
      </c>
      <c r="T21" s="18">
        <v>8</v>
      </c>
      <c r="U21" s="22" t="str">
        <f t="shared" si="5"/>
        <v>Y</v>
      </c>
      <c r="V21"/>
      <c r="W21"/>
    </row>
    <row r="22" spans="2:23" s="24" customFormat="1" ht="18" customHeight="1">
      <c r="B22" s="15" t="e">
        <f>'[1]CO meet M or N'!B23</f>
        <v>#REF!</v>
      </c>
      <c r="C22" s="15">
        <v>10</v>
      </c>
      <c r="D22" s="114" t="s">
        <v>88</v>
      </c>
      <c r="E22" s="116" t="s">
        <v>169</v>
      </c>
      <c r="F22" s="16">
        <v>10</v>
      </c>
      <c r="G22" s="22" t="str">
        <f t="shared" si="0"/>
        <v>Y</v>
      </c>
      <c r="H22" s="16">
        <v>9</v>
      </c>
      <c r="I22" s="22" t="str">
        <f t="shared" si="1"/>
        <v>Y</v>
      </c>
      <c r="J22" s="18">
        <v>7</v>
      </c>
      <c r="K22" s="22" t="str">
        <f t="shared" si="2"/>
        <v>Y</v>
      </c>
      <c r="L22" s="16">
        <v>8</v>
      </c>
      <c r="M22" s="22" t="str">
        <f t="shared" si="3"/>
        <v>Y</v>
      </c>
      <c r="N22" s="16">
        <v>10</v>
      </c>
      <c r="O22" s="22"/>
      <c r="P22" s="16"/>
      <c r="Q22" s="22"/>
      <c r="R22" s="23"/>
      <c r="S22" s="22" t="str">
        <f t="shared" si="4"/>
        <v>Y</v>
      </c>
      <c r="T22" s="18">
        <v>10</v>
      </c>
      <c r="U22" s="22" t="str">
        <f t="shared" si="5"/>
        <v>Y</v>
      </c>
      <c r="V22"/>
      <c r="W22"/>
    </row>
    <row r="23" spans="2:23" s="24" customFormat="1" ht="18" customHeight="1">
      <c r="B23" s="15" t="e">
        <f>'[1]CO meet M or N'!B24</f>
        <v>#REF!</v>
      </c>
      <c r="C23" s="15">
        <v>11</v>
      </c>
      <c r="D23" s="114" t="s">
        <v>89</v>
      </c>
      <c r="E23" s="116" t="s">
        <v>170</v>
      </c>
      <c r="F23" s="157">
        <v>10</v>
      </c>
      <c r="G23" s="22" t="str">
        <f t="shared" si="0"/>
        <v>Y</v>
      </c>
      <c r="H23" s="157">
        <v>9</v>
      </c>
      <c r="I23" s="22" t="str">
        <f t="shared" si="1"/>
        <v>Y</v>
      </c>
      <c r="J23" s="18">
        <v>6</v>
      </c>
      <c r="K23" s="22" t="str">
        <f t="shared" si="2"/>
        <v>Y</v>
      </c>
      <c r="L23" s="18">
        <v>7</v>
      </c>
      <c r="M23" s="22" t="str">
        <f t="shared" si="3"/>
        <v>Y</v>
      </c>
      <c r="N23" s="18">
        <v>8</v>
      </c>
      <c r="O23" s="22"/>
      <c r="P23" s="18"/>
      <c r="Q23" s="22"/>
      <c r="R23" s="23"/>
      <c r="S23" s="22" t="str">
        <f t="shared" si="4"/>
        <v>Y</v>
      </c>
      <c r="T23" s="18">
        <v>8</v>
      </c>
      <c r="U23" s="22" t="str">
        <f t="shared" si="5"/>
        <v>Y</v>
      </c>
      <c r="V23"/>
      <c r="W23"/>
    </row>
    <row r="24" spans="2:23" s="24" customFormat="1" ht="18" customHeight="1">
      <c r="B24" s="15" t="e">
        <f>'[1]CO meet M or N'!B25</f>
        <v>#REF!</v>
      </c>
      <c r="C24" s="15">
        <v>12</v>
      </c>
      <c r="D24" s="114" t="s">
        <v>91</v>
      </c>
      <c r="E24" s="116" t="s">
        <v>171</v>
      </c>
      <c r="F24" s="157">
        <v>7</v>
      </c>
      <c r="G24" s="22" t="str">
        <f t="shared" si="0"/>
        <v>Y</v>
      </c>
      <c r="H24" s="157">
        <v>4</v>
      </c>
      <c r="I24" s="22" t="str">
        <f t="shared" si="1"/>
        <v>N</v>
      </c>
      <c r="J24" s="18">
        <v>7</v>
      </c>
      <c r="K24" s="22" t="str">
        <f t="shared" si="2"/>
        <v>Y</v>
      </c>
      <c r="L24" s="18">
        <v>8</v>
      </c>
      <c r="M24" s="22" t="str">
        <f t="shared" si="3"/>
        <v>Y</v>
      </c>
      <c r="N24" s="18">
        <v>6</v>
      </c>
      <c r="O24" s="22"/>
      <c r="P24" s="18"/>
      <c r="Q24" s="22"/>
      <c r="R24" s="23"/>
      <c r="S24" s="22" t="str">
        <f t="shared" si="4"/>
        <v>Y</v>
      </c>
      <c r="T24" s="18">
        <v>6</v>
      </c>
      <c r="U24" s="22" t="str">
        <f t="shared" si="5"/>
        <v>Y</v>
      </c>
      <c r="V24"/>
      <c r="W24"/>
    </row>
    <row r="25" spans="2:23" s="24" customFormat="1" ht="18" customHeight="1">
      <c r="B25" s="15" t="e">
        <f>'[1]CO meet M or N'!B26</f>
        <v>#REF!</v>
      </c>
      <c r="C25" s="15">
        <v>13</v>
      </c>
      <c r="D25" s="158" t="s">
        <v>92</v>
      </c>
      <c r="E25" s="159" t="s">
        <v>90</v>
      </c>
      <c r="F25" s="111" t="s">
        <v>251</v>
      </c>
      <c r="G25" s="22" t="str">
        <f t="shared" si="0"/>
        <v>Y</v>
      </c>
      <c r="H25" s="111" t="s">
        <v>251</v>
      </c>
      <c r="I25" s="22" t="str">
        <f t="shared" si="1"/>
        <v>Y</v>
      </c>
      <c r="J25" s="111" t="s">
        <v>251</v>
      </c>
      <c r="K25" s="22" t="str">
        <f t="shared" si="2"/>
        <v>Y</v>
      </c>
      <c r="L25" s="111" t="s">
        <v>251</v>
      </c>
      <c r="M25" s="22" t="str">
        <f t="shared" si="3"/>
        <v>Y</v>
      </c>
      <c r="N25" s="111" t="s">
        <v>251</v>
      </c>
      <c r="O25" s="22"/>
      <c r="P25" s="18"/>
      <c r="Q25" s="22"/>
      <c r="R25" s="23"/>
      <c r="S25" s="22" t="str">
        <f t="shared" si="4"/>
        <v>Y</v>
      </c>
      <c r="T25" s="111" t="s">
        <v>251</v>
      </c>
      <c r="U25" s="22" t="s">
        <v>28</v>
      </c>
      <c r="V25"/>
      <c r="W25"/>
    </row>
    <row r="26" spans="2:23" s="24" customFormat="1" ht="18" customHeight="1">
      <c r="B26" s="15" t="e">
        <f>'[1]CO meet M or N'!B27</f>
        <v>#REF!</v>
      </c>
      <c r="C26" s="15">
        <v>14</v>
      </c>
      <c r="D26" s="160" t="s">
        <v>93</v>
      </c>
      <c r="E26" s="161" t="s">
        <v>172</v>
      </c>
      <c r="F26" s="18">
        <v>10</v>
      </c>
      <c r="G26" s="22" t="str">
        <f t="shared" si="0"/>
        <v>Y</v>
      </c>
      <c r="H26" s="18">
        <v>10</v>
      </c>
      <c r="I26" s="22" t="str">
        <f t="shared" si="1"/>
        <v>Y</v>
      </c>
      <c r="J26" s="18">
        <v>10</v>
      </c>
      <c r="K26" s="22" t="str">
        <f t="shared" si="2"/>
        <v>Y</v>
      </c>
      <c r="L26" s="18">
        <v>7</v>
      </c>
      <c r="M26" s="22" t="str">
        <f t="shared" si="3"/>
        <v>Y</v>
      </c>
      <c r="N26" s="18">
        <v>10</v>
      </c>
      <c r="O26" s="22"/>
      <c r="P26" s="18"/>
      <c r="Q26" s="22"/>
      <c r="R26" s="23"/>
      <c r="S26" s="22" t="str">
        <f t="shared" si="4"/>
        <v>Y</v>
      </c>
      <c r="T26" s="18">
        <v>10</v>
      </c>
      <c r="U26" s="22" t="str">
        <f t="shared" si="5"/>
        <v>Y</v>
      </c>
      <c r="V26"/>
      <c r="W26"/>
    </row>
    <row r="27" spans="2:23" s="24" customFormat="1" ht="18" customHeight="1">
      <c r="B27" s="15" t="e">
        <f>'[1]CO meet M or N'!B28</f>
        <v>#REF!</v>
      </c>
      <c r="C27" s="15">
        <v>15</v>
      </c>
      <c r="D27" s="160" t="s">
        <v>94</v>
      </c>
      <c r="E27" s="161" t="s">
        <v>173</v>
      </c>
      <c r="F27" s="18">
        <v>5</v>
      </c>
      <c r="G27" s="22" t="str">
        <f t="shared" si="0"/>
        <v>N</v>
      </c>
      <c r="H27" s="18">
        <v>6</v>
      </c>
      <c r="I27" s="22" t="str">
        <f t="shared" si="1"/>
        <v>Y</v>
      </c>
      <c r="J27" s="18">
        <v>5</v>
      </c>
      <c r="K27" s="22" t="str">
        <f t="shared" si="2"/>
        <v>N</v>
      </c>
      <c r="L27" s="18">
        <v>5</v>
      </c>
      <c r="M27" s="22" t="str">
        <f t="shared" si="3"/>
        <v>N</v>
      </c>
      <c r="N27" s="18">
        <v>9</v>
      </c>
      <c r="O27" s="22"/>
      <c r="P27" s="18"/>
      <c r="Q27" s="22"/>
      <c r="R27" s="23"/>
      <c r="S27" s="22" t="str">
        <f t="shared" si="4"/>
        <v>Y</v>
      </c>
      <c r="T27" s="18">
        <v>9</v>
      </c>
      <c r="U27" s="22" t="str">
        <f t="shared" si="5"/>
        <v>Y</v>
      </c>
      <c r="V27"/>
      <c r="W27"/>
    </row>
    <row r="28" spans="2:23" s="24" customFormat="1" ht="18" customHeight="1">
      <c r="B28" s="15" t="e">
        <f>'[1]CO meet M or N'!B29</f>
        <v>#REF!</v>
      </c>
      <c r="C28" s="15">
        <v>16</v>
      </c>
      <c r="D28" s="158" t="s">
        <v>95</v>
      </c>
      <c r="E28" s="159" t="s">
        <v>174</v>
      </c>
      <c r="F28" s="18">
        <v>5</v>
      </c>
      <c r="G28" s="22" t="str">
        <f t="shared" si="0"/>
        <v>N</v>
      </c>
      <c r="H28" s="18">
        <v>6</v>
      </c>
      <c r="I28" s="22" t="str">
        <f t="shared" si="1"/>
        <v>Y</v>
      </c>
      <c r="J28" s="18">
        <v>5</v>
      </c>
      <c r="K28" s="22" t="str">
        <f t="shared" si="2"/>
        <v>N</v>
      </c>
      <c r="L28" s="18">
        <v>0</v>
      </c>
      <c r="M28" s="22" t="str">
        <f t="shared" si="3"/>
        <v>N</v>
      </c>
      <c r="N28" s="18">
        <v>9</v>
      </c>
      <c r="O28" s="22"/>
      <c r="P28" s="18"/>
      <c r="Q28" s="22"/>
      <c r="R28" s="23"/>
      <c r="S28" s="22" t="str">
        <f t="shared" si="4"/>
        <v>Y</v>
      </c>
      <c r="T28" s="18">
        <v>9</v>
      </c>
      <c r="U28" s="22" t="str">
        <f t="shared" si="5"/>
        <v>Y</v>
      </c>
      <c r="V28"/>
      <c r="W28"/>
    </row>
    <row r="29" spans="2:23" s="24" customFormat="1" ht="18" customHeight="1">
      <c r="B29" s="15" t="e">
        <f>'[1]CO meet M or N'!B30</f>
        <v>#REF!</v>
      </c>
      <c r="C29" s="15">
        <v>17</v>
      </c>
      <c r="D29" s="158" t="s">
        <v>96</v>
      </c>
      <c r="E29" s="159" t="s">
        <v>175</v>
      </c>
      <c r="F29" s="18">
        <v>7</v>
      </c>
      <c r="G29" s="22" t="str">
        <f t="shared" si="0"/>
        <v>Y</v>
      </c>
      <c r="H29" s="18">
        <v>7</v>
      </c>
      <c r="I29" s="22" t="str">
        <f t="shared" si="1"/>
        <v>Y</v>
      </c>
      <c r="J29" s="18">
        <v>6</v>
      </c>
      <c r="K29" s="22" t="str">
        <f t="shared" si="2"/>
        <v>Y</v>
      </c>
      <c r="L29" s="18">
        <v>6</v>
      </c>
      <c r="M29" s="22" t="str">
        <f t="shared" si="3"/>
        <v>Y</v>
      </c>
      <c r="N29" s="18">
        <v>10</v>
      </c>
      <c r="O29" s="22"/>
      <c r="P29" s="18"/>
      <c r="Q29" s="22"/>
      <c r="R29" s="23"/>
      <c r="S29" s="22" t="str">
        <f t="shared" si="4"/>
        <v>Y</v>
      </c>
      <c r="T29" s="18">
        <v>10</v>
      </c>
      <c r="U29" s="22" t="str">
        <f t="shared" si="5"/>
        <v>Y</v>
      </c>
      <c r="V29"/>
      <c r="W29"/>
    </row>
    <row r="30" spans="2:23" s="24" customFormat="1" ht="18" customHeight="1">
      <c r="B30" s="15" t="e">
        <f>'[1]CO meet M or N'!B31</f>
        <v>#REF!</v>
      </c>
      <c r="C30" s="15">
        <v>18</v>
      </c>
      <c r="D30" s="158" t="s">
        <v>97</v>
      </c>
      <c r="E30" s="159" t="s">
        <v>176</v>
      </c>
      <c r="F30" s="18">
        <v>7</v>
      </c>
      <c r="G30" s="22" t="str">
        <f t="shared" si="0"/>
        <v>Y</v>
      </c>
      <c r="H30" s="18">
        <v>10</v>
      </c>
      <c r="I30" s="22" t="str">
        <f t="shared" si="1"/>
        <v>Y</v>
      </c>
      <c r="J30" s="18">
        <v>5</v>
      </c>
      <c r="K30" s="22" t="str">
        <f t="shared" si="2"/>
        <v>N</v>
      </c>
      <c r="L30" s="18">
        <v>5</v>
      </c>
      <c r="M30" s="22" t="str">
        <f t="shared" si="3"/>
        <v>N</v>
      </c>
      <c r="N30" s="18">
        <v>8</v>
      </c>
      <c r="O30" s="22"/>
      <c r="P30" s="18"/>
      <c r="Q30" s="22"/>
      <c r="R30" s="23"/>
      <c r="S30" s="22" t="str">
        <f t="shared" si="4"/>
        <v>Y</v>
      </c>
      <c r="T30" s="18">
        <v>8</v>
      </c>
      <c r="U30" s="22" t="str">
        <f t="shared" si="5"/>
        <v>Y</v>
      </c>
      <c r="V30"/>
      <c r="W30"/>
    </row>
    <row r="31" spans="2:23" s="24" customFormat="1" ht="18" customHeight="1">
      <c r="B31" s="15" t="e">
        <f>'[1]CO meet M or N'!B32</f>
        <v>#REF!</v>
      </c>
      <c r="C31" s="15">
        <v>19</v>
      </c>
      <c r="D31" s="158" t="s">
        <v>98</v>
      </c>
      <c r="E31" s="159" t="s">
        <v>177</v>
      </c>
      <c r="F31" s="18">
        <v>7</v>
      </c>
      <c r="G31" s="22" t="str">
        <f t="shared" si="0"/>
        <v>Y</v>
      </c>
      <c r="H31" s="18">
        <v>8</v>
      </c>
      <c r="I31" s="22" t="str">
        <f t="shared" si="1"/>
        <v>Y</v>
      </c>
      <c r="J31" s="18">
        <v>6</v>
      </c>
      <c r="K31" s="22" t="str">
        <f t="shared" si="2"/>
        <v>Y</v>
      </c>
      <c r="L31" s="18">
        <v>4</v>
      </c>
      <c r="M31" s="22" t="str">
        <f t="shared" si="3"/>
        <v>N</v>
      </c>
      <c r="N31" s="18">
        <v>8</v>
      </c>
      <c r="O31" s="22"/>
      <c r="P31" s="18"/>
      <c r="Q31" s="22"/>
      <c r="R31" s="23"/>
      <c r="S31" s="22" t="str">
        <f t="shared" si="4"/>
        <v>Y</v>
      </c>
      <c r="T31" s="18">
        <v>8</v>
      </c>
      <c r="U31" s="22" t="str">
        <f t="shared" si="5"/>
        <v>Y</v>
      </c>
      <c r="V31"/>
      <c r="W31"/>
    </row>
    <row r="32" spans="2:23" s="24" customFormat="1" ht="18" customHeight="1">
      <c r="B32" s="15" t="e">
        <f>'[1]CO meet M or N'!B33</f>
        <v>#REF!</v>
      </c>
      <c r="C32" s="15">
        <v>20</v>
      </c>
      <c r="D32" s="114" t="s">
        <v>99</v>
      </c>
      <c r="E32" s="116" t="s">
        <v>178</v>
      </c>
      <c r="F32" s="111" t="s">
        <v>251</v>
      </c>
      <c r="G32" s="22" t="str">
        <f t="shared" si="0"/>
        <v>Y</v>
      </c>
      <c r="H32" s="111" t="s">
        <v>251</v>
      </c>
      <c r="I32" s="22" t="str">
        <f t="shared" si="1"/>
        <v>Y</v>
      </c>
      <c r="J32" s="111">
        <v>6</v>
      </c>
      <c r="K32" s="22" t="str">
        <f t="shared" si="2"/>
        <v>Y</v>
      </c>
      <c r="L32" s="111">
        <v>0</v>
      </c>
      <c r="M32" s="22" t="str">
        <f t="shared" si="3"/>
        <v>N</v>
      </c>
      <c r="N32" s="18">
        <v>7</v>
      </c>
      <c r="O32" s="22"/>
      <c r="P32" s="18"/>
      <c r="Q32" s="22"/>
      <c r="R32" s="23"/>
      <c r="S32" s="22" t="str">
        <f t="shared" si="4"/>
        <v>Y</v>
      </c>
      <c r="T32" s="18">
        <v>7</v>
      </c>
      <c r="U32" s="22" t="str">
        <f t="shared" si="5"/>
        <v>Y</v>
      </c>
      <c r="V32"/>
      <c r="W32"/>
    </row>
    <row r="33" spans="2:23" s="24" customFormat="1" ht="18" customHeight="1">
      <c r="B33" s="15" t="e">
        <f>'[1]CO meet M or N'!B34</f>
        <v>#REF!</v>
      </c>
      <c r="C33" s="15">
        <v>21</v>
      </c>
      <c r="D33" s="114" t="s">
        <v>100</v>
      </c>
      <c r="E33" s="116" t="s">
        <v>179</v>
      </c>
      <c r="F33" s="18">
        <v>7</v>
      </c>
      <c r="G33" s="22" t="str">
        <f t="shared" si="0"/>
        <v>Y</v>
      </c>
      <c r="H33" s="18">
        <v>10</v>
      </c>
      <c r="I33" s="22" t="str">
        <f t="shared" si="1"/>
        <v>Y</v>
      </c>
      <c r="J33" s="18">
        <v>5</v>
      </c>
      <c r="K33" s="22" t="str">
        <f t="shared" si="2"/>
        <v>N</v>
      </c>
      <c r="L33" s="18">
        <v>5</v>
      </c>
      <c r="M33" s="22" t="str">
        <f t="shared" si="3"/>
        <v>N</v>
      </c>
      <c r="N33" s="18">
        <v>9</v>
      </c>
      <c r="O33" s="22"/>
      <c r="P33" s="18"/>
      <c r="Q33" s="22"/>
      <c r="R33" s="23"/>
      <c r="S33" s="22" t="str">
        <f t="shared" si="4"/>
        <v>Y</v>
      </c>
      <c r="T33" s="18">
        <v>9</v>
      </c>
      <c r="U33" s="22" t="str">
        <f t="shared" si="5"/>
        <v>Y</v>
      </c>
      <c r="V33"/>
      <c r="W33"/>
    </row>
    <row r="34" spans="2:23" s="24" customFormat="1" ht="18" customHeight="1">
      <c r="B34" s="15" t="e">
        <f>'[1]CO meet M or N'!B35</f>
        <v>#REF!</v>
      </c>
      <c r="C34" s="15">
        <v>22</v>
      </c>
      <c r="D34" s="114" t="s">
        <v>101</v>
      </c>
      <c r="E34" s="116" t="s">
        <v>180</v>
      </c>
      <c r="F34" s="18">
        <v>5</v>
      </c>
      <c r="G34" s="22" t="str">
        <f t="shared" si="0"/>
        <v>N</v>
      </c>
      <c r="H34" s="18">
        <v>5</v>
      </c>
      <c r="I34" s="22" t="str">
        <f t="shared" si="1"/>
        <v>N</v>
      </c>
      <c r="J34" s="18">
        <v>6</v>
      </c>
      <c r="K34" s="22" t="str">
        <f t="shared" si="2"/>
        <v>Y</v>
      </c>
      <c r="L34" s="18">
        <v>0</v>
      </c>
      <c r="M34" s="22" t="str">
        <f t="shared" si="3"/>
        <v>N</v>
      </c>
      <c r="N34" s="18">
        <v>7</v>
      </c>
      <c r="O34" s="22"/>
      <c r="P34" s="18"/>
      <c r="Q34" s="22"/>
      <c r="R34" s="23"/>
      <c r="S34" s="22" t="str">
        <f t="shared" si="4"/>
        <v>Y</v>
      </c>
      <c r="T34" s="18">
        <v>7</v>
      </c>
      <c r="U34" s="22" t="str">
        <f t="shared" si="5"/>
        <v>Y</v>
      </c>
      <c r="V34"/>
      <c r="W34"/>
    </row>
    <row r="35" spans="2:23" s="24" customFormat="1" ht="18" customHeight="1">
      <c r="B35" s="15" t="e">
        <f>'[1]CO meet M or N'!B36</f>
        <v>#REF!</v>
      </c>
      <c r="C35" s="15">
        <v>23</v>
      </c>
      <c r="D35" s="114" t="s">
        <v>102</v>
      </c>
      <c r="E35" s="116" t="s">
        <v>181</v>
      </c>
      <c r="F35" s="18">
        <v>10</v>
      </c>
      <c r="G35" s="22" t="str">
        <f t="shared" si="0"/>
        <v>Y</v>
      </c>
      <c r="H35" s="18">
        <v>5</v>
      </c>
      <c r="I35" s="22" t="str">
        <f t="shared" si="1"/>
        <v>N</v>
      </c>
      <c r="J35" s="18">
        <v>2</v>
      </c>
      <c r="K35" s="22" t="str">
        <f t="shared" si="2"/>
        <v>N</v>
      </c>
      <c r="L35" s="18">
        <v>0</v>
      </c>
      <c r="M35" s="22" t="str">
        <f t="shared" si="3"/>
        <v>N</v>
      </c>
      <c r="N35" s="18">
        <v>6</v>
      </c>
      <c r="O35" s="22"/>
      <c r="P35" s="18"/>
      <c r="Q35" s="22"/>
      <c r="R35" s="23"/>
      <c r="S35" s="22" t="str">
        <f t="shared" si="4"/>
        <v>Y</v>
      </c>
      <c r="T35" s="18">
        <v>6</v>
      </c>
      <c r="U35" s="22" t="str">
        <f t="shared" si="5"/>
        <v>Y</v>
      </c>
      <c r="V35"/>
      <c r="W35"/>
    </row>
    <row r="36" spans="2:23" s="24" customFormat="1" ht="18" customHeight="1">
      <c r="B36" s="15" t="e">
        <f>'[1]CO meet M or N'!B37</f>
        <v>#REF!</v>
      </c>
      <c r="C36" s="15">
        <v>24</v>
      </c>
      <c r="D36" s="114" t="s">
        <v>103</v>
      </c>
      <c r="E36" s="119" t="s">
        <v>182</v>
      </c>
      <c r="F36" s="18">
        <v>10</v>
      </c>
      <c r="G36" s="22" t="str">
        <f t="shared" si="0"/>
        <v>Y</v>
      </c>
      <c r="H36" s="18">
        <v>9</v>
      </c>
      <c r="I36" s="22" t="str">
        <f t="shared" si="1"/>
        <v>Y</v>
      </c>
      <c r="J36" s="18">
        <v>7</v>
      </c>
      <c r="K36" s="22" t="str">
        <f t="shared" si="2"/>
        <v>Y</v>
      </c>
      <c r="L36" s="18">
        <v>8</v>
      </c>
      <c r="M36" s="22" t="str">
        <f t="shared" si="3"/>
        <v>Y</v>
      </c>
      <c r="N36" s="18">
        <v>8</v>
      </c>
      <c r="O36" s="22"/>
      <c r="P36" s="18"/>
      <c r="Q36" s="22"/>
      <c r="R36" s="23"/>
      <c r="S36" s="22" t="str">
        <f t="shared" si="4"/>
        <v>Y</v>
      </c>
      <c r="T36" s="18">
        <v>8</v>
      </c>
      <c r="U36" s="22" t="str">
        <f t="shared" si="5"/>
        <v>Y</v>
      </c>
      <c r="V36"/>
      <c r="W36"/>
    </row>
    <row r="37" spans="2:23" s="24" customFormat="1" ht="18" customHeight="1">
      <c r="B37" s="15" t="e">
        <f>'[1]CO meet M or N'!B38</f>
        <v>#REF!</v>
      </c>
      <c r="C37" s="15">
        <v>25</v>
      </c>
      <c r="D37" s="114" t="s">
        <v>104</v>
      </c>
      <c r="E37" s="119" t="s">
        <v>183</v>
      </c>
      <c r="F37" s="18">
        <v>9</v>
      </c>
      <c r="G37" s="22" t="str">
        <f t="shared" si="0"/>
        <v>Y</v>
      </c>
      <c r="H37" s="18">
        <v>5</v>
      </c>
      <c r="I37" s="22" t="str">
        <f t="shared" si="1"/>
        <v>N</v>
      </c>
      <c r="J37" s="18">
        <v>6</v>
      </c>
      <c r="K37" s="22" t="str">
        <f t="shared" si="2"/>
        <v>Y</v>
      </c>
      <c r="L37" s="18">
        <v>4</v>
      </c>
      <c r="M37" s="22" t="str">
        <f t="shared" si="3"/>
        <v>N</v>
      </c>
      <c r="N37" s="18">
        <v>8</v>
      </c>
      <c r="O37" s="22"/>
      <c r="P37" s="18"/>
      <c r="Q37" s="22"/>
      <c r="R37" s="23"/>
      <c r="S37" s="22" t="str">
        <f t="shared" si="4"/>
        <v>Y</v>
      </c>
      <c r="T37" s="18">
        <v>8</v>
      </c>
      <c r="U37" s="22" t="str">
        <f t="shared" si="5"/>
        <v>Y</v>
      </c>
      <c r="V37"/>
      <c r="W37"/>
    </row>
    <row r="38" spans="2:23" s="24" customFormat="1" ht="18" customHeight="1">
      <c r="B38" s="15" t="e">
        <f>'[1]CO meet M or N'!B39</f>
        <v>#REF!</v>
      </c>
      <c r="C38" s="15">
        <v>26</v>
      </c>
      <c r="D38" s="114" t="s">
        <v>105</v>
      </c>
      <c r="E38" s="119" t="s">
        <v>184</v>
      </c>
      <c r="F38" s="18">
        <v>8</v>
      </c>
      <c r="G38" s="22" t="str">
        <f t="shared" si="0"/>
        <v>Y</v>
      </c>
      <c r="H38" s="18">
        <v>8</v>
      </c>
      <c r="I38" s="22" t="str">
        <f t="shared" si="1"/>
        <v>Y</v>
      </c>
      <c r="J38" s="18">
        <v>7</v>
      </c>
      <c r="K38" s="22" t="str">
        <f t="shared" si="2"/>
        <v>Y</v>
      </c>
      <c r="L38" s="18">
        <v>8</v>
      </c>
      <c r="M38" s="22" t="str">
        <f t="shared" si="3"/>
        <v>Y</v>
      </c>
      <c r="N38" s="18">
        <v>9</v>
      </c>
      <c r="O38" s="22"/>
      <c r="P38" s="18"/>
      <c r="Q38" s="22"/>
      <c r="R38" s="23"/>
      <c r="S38" s="22" t="str">
        <f t="shared" si="4"/>
        <v>Y</v>
      </c>
      <c r="T38" s="18">
        <v>9</v>
      </c>
      <c r="U38" s="22" t="str">
        <f t="shared" si="5"/>
        <v>Y</v>
      </c>
      <c r="V38"/>
      <c r="W38"/>
    </row>
    <row r="39" spans="2:23" s="24" customFormat="1" ht="18" customHeight="1">
      <c r="B39" s="15" t="e">
        <f>'[1]CO meet M or N'!B40</f>
        <v>#REF!</v>
      </c>
      <c r="C39" s="15">
        <v>27</v>
      </c>
      <c r="D39" s="114" t="s">
        <v>106</v>
      </c>
      <c r="E39" s="119" t="s">
        <v>185</v>
      </c>
      <c r="F39" s="18">
        <v>7</v>
      </c>
      <c r="G39" s="22" t="str">
        <f t="shared" si="0"/>
        <v>Y</v>
      </c>
      <c r="H39" s="18">
        <v>9</v>
      </c>
      <c r="I39" s="22" t="str">
        <f t="shared" si="1"/>
        <v>Y</v>
      </c>
      <c r="J39" s="18">
        <v>7</v>
      </c>
      <c r="K39" s="22" t="str">
        <f t="shared" si="2"/>
        <v>Y</v>
      </c>
      <c r="L39" s="18">
        <v>7</v>
      </c>
      <c r="M39" s="22" t="str">
        <f t="shared" si="3"/>
        <v>Y</v>
      </c>
      <c r="N39" s="18">
        <v>8</v>
      </c>
      <c r="O39" s="22"/>
      <c r="P39" s="18"/>
      <c r="Q39" s="22"/>
      <c r="R39" s="23"/>
      <c r="S39" s="22" t="str">
        <f t="shared" si="4"/>
        <v>Y</v>
      </c>
      <c r="T39" s="18">
        <v>8</v>
      </c>
      <c r="U39" s="22" t="str">
        <f t="shared" si="5"/>
        <v>Y</v>
      </c>
      <c r="V39"/>
      <c r="W39"/>
    </row>
    <row r="40" spans="2:23" s="24" customFormat="1" ht="18" customHeight="1">
      <c r="B40" s="15" t="e">
        <f>'[1]CO meet M or N'!B41</f>
        <v>#REF!</v>
      </c>
      <c r="C40" s="15">
        <v>28</v>
      </c>
      <c r="D40" s="114" t="s">
        <v>107</v>
      </c>
      <c r="E40" s="119" t="s">
        <v>186</v>
      </c>
      <c r="F40" s="18">
        <v>6</v>
      </c>
      <c r="G40" s="22" t="str">
        <f t="shared" si="0"/>
        <v>Y</v>
      </c>
      <c r="H40" s="18">
        <v>10</v>
      </c>
      <c r="I40" s="22" t="str">
        <f t="shared" si="1"/>
        <v>Y</v>
      </c>
      <c r="J40" s="18">
        <v>0</v>
      </c>
      <c r="K40" s="22" t="str">
        <f t="shared" si="2"/>
        <v>N</v>
      </c>
      <c r="L40" s="18">
        <v>7</v>
      </c>
      <c r="M40" s="22" t="str">
        <f t="shared" si="3"/>
        <v>Y</v>
      </c>
      <c r="N40" s="18">
        <v>7</v>
      </c>
      <c r="O40" s="22"/>
      <c r="P40" s="18"/>
      <c r="Q40" s="22"/>
      <c r="R40" s="23"/>
      <c r="S40" s="22" t="str">
        <f t="shared" si="4"/>
        <v>Y</v>
      </c>
      <c r="T40" s="18">
        <v>7</v>
      </c>
      <c r="U40" s="22" t="str">
        <f t="shared" si="5"/>
        <v>Y</v>
      </c>
      <c r="V40"/>
      <c r="W40"/>
    </row>
    <row r="41" spans="2:23" s="24" customFormat="1" ht="18" customHeight="1">
      <c r="B41" s="15" t="e">
        <f>'[1]CO meet M or N'!B42</f>
        <v>#REF!</v>
      </c>
      <c r="C41" s="15">
        <v>29</v>
      </c>
      <c r="D41" s="114" t="s">
        <v>108</v>
      </c>
      <c r="E41" s="116" t="s">
        <v>187</v>
      </c>
      <c r="F41" s="18">
        <v>10</v>
      </c>
      <c r="G41" s="22" t="str">
        <f t="shared" si="0"/>
        <v>Y</v>
      </c>
      <c r="H41" s="18">
        <v>10</v>
      </c>
      <c r="I41" s="22" t="str">
        <f t="shared" si="1"/>
        <v>Y</v>
      </c>
      <c r="J41" s="18">
        <v>8</v>
      </c>
      <c r="K41" s="22" t="str">
        <f t="shared" si="2"/>
        <v>Y</v>
      </c>
      <c r="L41" s="18">
        <v>0</v>
      </c>
      <c r="M41" s="22" t="str">
        <f t="shared" si="3"/>
        <v>N</v>
      </c>
      <c r="N41" s="18">
        <v>7</v>
      </c>
      <c r="O41" s="22"/>
      <c r="P41" s="18"/>
      <c r="Q41" s="22"/>
      <c r="R41" s="23"/>
      <c r="S41" s="22" t="str">
        <f t="shared" si="4"/>
        <v>Y</v>
      </c>
      <c r="T41" s="18">
        <v>7</v>
      </c>
      <c r="U41" s="22" t="str">
        <f t="shared" si="5"/>
        <v>Y</v>
      </c>
      <c r="V41"/>
      <c r="W41"/>
    </row>
    <row r="42" spans="2:23" s="24" customFormat="1" ht="18" customHeight="1">
      <c r="B42" s="15" t="e">
        <f>'[1]CO meet M or N'!B43</f>
        <v>#REF!</v>
      </c>
      <c r="C42" s="15">
        <v>30</v>
      </c>
      <c r="D42" s="120" t="s">
        <v>109</v>
      </c>
      <c r="E42" s="121" t="s">
        <v>188</v>
      </c>
      <c r="F42" s="18">
        <v>7</v>
      </c>
      <c r="G42" s="22" t="str">
        <f t="shared" si="0"/>
        <v>Y</v>
      </c>
      <c r="H42" s="18">
        <v>8</v>
      </c>
      <c r="I42" s="22" t="str">
        <f t="shared" si="1"/>
        <v>Y</v>
      </c>
      <c r="J42" s="68">
        <v>8</v>
      </c>
      <c r="K42" s="22" t="str">
        <f t="shared" si="2"/>
        <v>Y</v>
      </c>
      <c r="L42" s="18">
        <v>7</v>
      </c>
      <c r="M42" s="22" t="str">
        <f t="shared" si="3"/>
        <v>Y</v>
      </c>
      <c r="N42" s="18">
        <v>10</v>
      </c>
      <c r="O42" s="22"/>
      <c r="P42" s="18"/>
      <c r="Q42" s="22"/>
      <c r="R42" s="23"/>
      <c r="S42" s="22" t="str">
        <f t="shared" si="4"/>
        <v>Y</v>
      </c>
      <c r="T42" s="18">
        <v>10</v>
      </c>
      <c r="U42" s="22" t="str">
        <f t="shared" si="5"/>
        <v>Y</v>
      </c>
      <c r="V42"/>
      <c r="W42"/>
    </row>
    <row r="43" spans="2:23" s="24" customFormat="1" ht="18" customHeight="1">
      <c r="B43" s="15" t="e">
        <f>'[1]CO meet M or N'!B44</f>
        <v>#REF!</v>
      </c>
      <c r="C43" s="15">
        <v>31</v>
      </c>
      <c r="D43" s="114" t="s">
        <v>110</v>
      </c>
      <c r="E43" s="122" t="s">
        <v>189</v>
      </c>
      <c r="F43" s="18">
        <v>9</v>
      </c>
      <c r="G43" s="22" t="str">
        <f t="shared" si="0"/>
        <v>Y</v>
      </c>
      <c r="H43" s="18">
        <v>7</v>
      </c>
      <c r="I43" s="22" t="str">
        <f t="shared" si="1"/>
        <v>Y</v>
      </c>
      <c r="J43" s="18">
        <v>10</v>
      </c>
      <c r="K43" s="22" t="str">
        <f t="shared" si="2"/>
        <v>Y</v>
      </c>
      <c r="L43" s="18">
        <v>5</v>
      </c>
      <c r="M43" s="22" t="str">
        <f t="shared" si="3"/>
        <v>N</v>
      </c>
      <c r="N43" s="18">
        <v>9</v>
      </c>
      <c r="O43" s="22"/>
      <c r="P43" s="18"/>
      <c r="Q43" s="22"/>
      <c r="R43" s="23"/>
      <c r="S43" s="22" t="str">
        <f t="shared" si="4"/>
        <v>Y</v>
      </c>
      <c r="T43" s="18">
        <v>9</v>
      </c>
      <c r="U43" s="22" t="str">
        <f t="shared" si="5"/>
        <v>Y</v>
      </c>
      <c r="V43"/>
      <c r="W43"/>
    </row>
    <row r="44" spans="2:23" s="24" customFormat="1" ht="18" customHeight="1">
      <c r="B44" s="15" t="e">
        <f>'[1]CO meet M or N'!B45</f>
        <v>#REF!</v>
      </c>
      <c r="C44" s="15">
        <v>32</v>
      </c>
      <c r="D44" s="114" t="s">
        <v>111</v>
      </c>
      <c r="E44" s="122" t="s">
        <v>190</v>
      </c>
      <c r="F44" s="18">
        <v>10</v>
      </c>
      <c r="G44" s="22" t="str">
        <f t="shared" si="0"/>
        <v>Y</v>
      </c>
      <c r="H44" s="18">
        <v>10</v>
      </c>
      <c r="I44" s="22" t="str">
        <f t="shared" si="1"/>
        <v>Y</v>
      </c>
      <c r="J44" s="18">
        <v>10</v>
      </c>
      <c r="K44" s="22" t="str">
        <f t="shared" si="2"/>
        <v>Y</v>
      </c>
      <c r="L44" s="18">
        <v>1</v>
      </c>
      <c r="M44" s="22" t="str">
        <f t="shared" si="3"/>
        <v>N</v>
      </c>
      <c r="N44" s="18">
        <v>8</v>
      </c>
      <c r="O44" s="22"/>
      <c r="P44" s="18"/>
      <c r="Q44" s="22"/>
      <c r="R44" s="23"/>
      <c r="S44" s="22" t="str">
        <f t="shared" si="4"/>
        <v>Y</v>
      </c>
      <c r="T44" s="18">
        <v>8</v>
      </c>
      <c r="U44" s="22" t="str">
        <f t="shared" si="5"/>
        <v>Y</v>
      </c>
      <c r="V44"/>
      <c r="W44"/>
    </row>
    <row r="45" spans="2:23" s="24" customFormat="1" ht="18" customHeight="1">
      <c r="B45" s="15" t="e">
        <f>'[1]CO meet M or N'!B46</f>
        <v>#REF!</v>
      </c>
      <c r="C45" s="15">
        <v>33</v>
      </c>
      <c r="D45" s="120" t="s">
        <v>112</v>
      </c>
      <c r="E45" s="123" t="s">
        <v>191</v>
      </c>
      <c r="F45" s="18">
        <v>10</v>
      </c>
      <c r="G45" s="22" t="str">
        <f t="shared" si="0"/>
        <v>Y</v>
      </c>
      <c r="H45" s="18">
        <v>10</v>
      </c>
      <c r="I45" s="22" t="str">
        <f t="shared" si="1"/>
        <v>Y</v>
      </c>
      <c r="J45" s="18">
        <v>10</v>
      </c>
      <c r="K45" s="22" t="str">
        <f t="shared" si="2"/>
        <v>Y</v>
      </c>
      <c r="L45" s="18">
        <v>5</v>
      </c>
      <c r="M45" s="22" t="str">
        <f t="shared" si="3"/>
        <v>N</v>
      </c>
      <c r="N45" s="18">
        <v>10</v>
      </c>
      <c r="O45" s="22"/>
      <c r="P45" s="18"/>
      <c r="Q45" s="22"/>
      <c r="R45" s="23"/>
      <c r="S45" s="22" t="str">
        <f t="shared" si="4"/>
        <v>Y</v>
      </c>
      <c r="T45" s="18">
        <v>10</v>
      </c>
      <c r="U45" s="22" t="str">
        <f t="shared" si="5"/>
        <v>Y</v>
      </c>
    </row>
    <row r="46" spans="2:23" s="24" customFormat="1" ht="18" customHeight="1">
      <c r="B46" s="15" t="e">
        <f>'[1]CO meet M or N'!B47</f>
        <v>#REF!</v>
      </c>
      <c r="C46" s="15">
        <v>34</v>
      </c>
      <c r="D46" s="114" t="s">
        <v>113</v>
      </c>
      <c r="E46" s="116" t="s">
        <v>192</v>
      </c>
      <c r="F46" s="18">
        <v>7</v>
      </c>
      <c r="G46" s="22" t="str">
        <f t="shared" si="0"/>
        <v>Y</v>
      </c>
      <c r="H46" s="18">
        <v>6</v>
      </c>
      <c r="I46" s="22" t="str">
        <f t="shared" si="1"/>
        <v>Y</v>
      </c>
      <c r="J46" s="18">
        <v>9</v>
      </c>
      <c r="K46" s="22" t="str">
        <f t="shared" si="2"/>
        <v>Y</v>
      </c>
      <c r="L46" s="18">
        <v>0</v>
      </c>
      <c r="M46" s="22" t="str">
        <f t="shared" si="3"/>
        <v>N</v>
      </c>
      <c r="N46" s="18">
        <v>9</v>
      </c>
      <c r="O46" s="22"/>
      <c r="P46" s="18"/>
      <c r="Q46" s="22"/>
      <c r="R46" s="23"/>
      <c r="S46" s="22" t="str">
        <f t="shared" si="4"/>
        <v>Y</v>
      </c>
      <c r="T46" s="18">
        <v>9</v>
      </c>
      <c r="U46" s="22" t="str">
        <f t="shared" si="5"/>
        <v>Y</v>
      </c>
    </row>
    <row r="47" spans="2:23" s="24" customFormat="1" ht="18" customHeight="1" thickBot="1">
      <c r="B47" s="15" t="e">
        <f>'[1]CO meet M or N'!B48</f>
        <v>#REF!</v>
      </c>
      <c r="C47" s="15">
        <v>35</v>
      </c>
      <c r="D47" s="114" t="s">
        <v>114</v>
      </c>
      <c r="E47" s="116" t="s">
        <v>193</v>
      </c>
      <c r="F47" s="18">
        <v>6</v>
      </c>
      <c r="G47" s="22" t="str">
        <f t="shared" si="0"/>
        <v>Y</v>
      </c>
      <c r="H47" s="18">
        <v>7</v>
      </c>
      <c r="I47" s="22" t="str">
        <f t="shared" si="1"/>
        <v>Y</v>
      </c>
      <c r="J47" s="18">
        <v>8</v>
      </c>
      <c r="K47" s="22" t="str">
        <f t="shared" si="2"/>
        <v>Y</v>
      </c>
      <c r="L47" s="18">
        <v>0</v>
      </c>
      <c r="M47" s="22" t="str">
        <f t="shared" si="3"/>
        <v>N</v>
      </c>
      <c r="N47" s="18">
        <v>9</v>
      </c>
      <c r="O47" s="22"/>
      <c r="P47" s="18"/>
      <c r="Q47" s="22"/>
      <c r="R47" s="23"/>
      <c r="S47" s="22" t="str">
        <f t="shared" si="4"/>
        <v>Y</v>
      </c>
      <c r="T47" s="18">
        <v>9</v>
      </c>
      <c r="U47" s="22" t="str">
        <f t="shared" si="5"/>
        <v>Y</v>
      </c>
    </row>
    <row r="48" spans="2:23" s="24" customFormat="1" ht="18" customHeight="1" thickBot="1">
      <c r="B48" s="15" t="e">
        <f>'[1]CO meet M or N'!B49</f>
        <v>#REF!</v>
      </c>
      <c r="C48" s="15">
        <v>36</v>
      </c>
      <c r="D48" s="124" t="s">
        <v>115</v>
      </c>
      <c r="E48" s="125" t="s">
        <v>194</v>
      </c>
      <c r="F48" s="18">
        <v>10</v>
      </c>
      <c r="G48" s="22" t="str">
        <f t="shared" si="0"/>
        <v>Y</v>
      </c>
      <c r="H48" s="18">
        <v>7</v>
      </c>
      <c r="I48" s="22" t="str">
        <f t="shared" si="1"/>
        <v>Y</v>
      </c>
      <c r="J48" s="18">
        <v>6</v>
      </c>
      <c r="K48" s="22" t="str">
        <f t="shared" si="2"/>
        <v>Y</v>
      </c>
      <c r="L48" s="18">
        <v>6</v>
      </c>
      <c r="M48" s="22" t="str">
        <f t="shared" si="3"/>
        <v>Y</v>
      </c>
      <c r="N48" s="18">
        <v>9</v>
      </c>
      <c r="O48" s="22"/>
      <c r="P48" s="18"/>
      <c r="Q48" s="22"/>
      <c r="R48" s="23"/>
      <c r="S48" s="22" t="str">
        <f t="shared" si="4"/>
        <v>Y</v>
      </c>
      <c r="T48" s="18">
        <v>9</v>
      </c>
      <c r="U48" s="22" t="str">
        <f t="shared" si="5"/>
        <v>Y</v>
      </c>
    </row>
    <row r="49" spans="2:23" s="24" customFormat="1" ht="18" customHeight="1" thickBot="1">
      <c r="B49" s="15" t="e">
        <f>'[1]CO meet M or N'!B50</f>
        <v>#REF!</v>
      </c>
      <c r="C49" s="15">
        <v>37</v>
      </c>
      <c r="D49" s="126" t="s">
        <v>116</v>
      </c>
      <c r="E49" s="127" t="s">
        <v>195</v>
      </c>
      <c r="F49" s="111" t="s">
        <v>251</v>
      </c>
      <c r="G49" s="22" t="str">
        <f t="shared" si="0"/>
        <v>Y</v>
      </c>
      <c r="H49" s="111" t="s">
        <v>251</v>
      </c>
      <c r="I49" s="22" t="str">
        <f t="shared" si="1"/>
        <v>Y</v>
      </c>
      <c r="J49" s="111" t="s">
        <v>251</v>
      </c>
      <c r="K49" s="22" t="str">
        <f t="shared" si="2"/>
        <v>Y</v>
      </c>
      <c r="L49" s="111" t="s">
        <v>251</v>
      </c>
      <c r="M49" s="22" t="str">
        <f t="shared" si="3"/>
        <v>Y</v>
      </c>
      <c r="N49" s="111" t="s">
        <v>251</v>
      </c>
      <c r="O49" s="22"/>
      <c r="P49" s="18"/>
      <c r="Q49" s="22"/>
      <c r="R49" s="23"/>
      <c r="S49" s="22" t="str">
        <f t="shared" si="4"/>
        <v>Y</v>
      </c>
      <c r="T49" s="111" t="s">
        <v>251</v>
      </c>
      <c r="U49" s="22" t="s">
        <v>28</v>
      </c>
      <c r="V49"/>
      <c r="W49"/>
    </row>
    <row r="50" spans="2:23" s="24" customFormat="1" ht="18" customHeight="1" thickBot="1">
      <c r="B50" s="15" t="e">
        <f>'[1]CO meet M or N'!B51</f>
        <v>#REF!</v>
      </c>
      <c r="C50" s="15">
        <v>38</v>
      </c>
      <c r="D50" s="128" t="s">
        <v>117</v>
      </c>
      <c r="E50" s="129" t="s">
        <v>196</v>
      </c>
      <c r="F50" s="18">
        <v>6</v>
      </c>
      <c r="G50" s="22" t="str">
        <f t="shared" si="0"/>
        <v>Y</v>
      </c>
      <c r="H50" s="18">
        <v>6</v>
      </c>
      <c r="I50" s="22" t="str">
        <f t="shared" si="1"/>
        <v>Y</v>
      </c>
      <c r="J50" s="18">
        <v>7</v>
      </c>
      <c r="K50" s="22" t="str">
        <f t="shared" si="2"/>
        <v>Y</v>
      </c>
      <c r="L50" s="18">
        <v>8</v>
      </c>
      <c r="M50" s="22" t="str">
        <f t="shared" si="3"/>
        <v>Y</v>
      </c>
      <c r="N50" s="18">
        <v>8</v>
      </c>
      <c r="O50" s="22"/>
      <c r="P50" s="18"/>
      <c r="Q50" s="22"/>
      <c r="R50" s="23"/>
      <c r="S50" s="22" t="str">
        <f t="shared" si="4"/>
        <v>Y</v>
      </c>
      <c r="T50" s="18">
        <v>8</v>
      </c>
      <c r="U50" s="22" t="str">
        <f t="shared" si="5"/>
        <v>Y</v>
      </c>
      <c r="V50"/>
      <c r="W50"/>
    </row>
    <row r="51" spans="2:23" s="24" customFormat="1" ht="18" customHeight="1" thickBot="1">
      <c r="B51" s="15" t="e">
        <f>'[1]CO meet M or N'!B53</f>
        <v>#REF!</v>
      </c>
      <c r="C51" s="15">
        <v>39</v>
      </c>
      <c r="D51" s="128" t="s">
        <v>118</v>
      </c>
      <c r="E51" s="129" t="s">
        <v>197</v>
      </c>
      <c r="F51" s="18">
        <v>7</v>
      </c>
      <c r="G51" s="22" t="str">
        <f t="shared" si="0"/>
        <v>Y</v>
      </c>
      <c r="H51" s="18">
        <v>4</v>
      </c>
      <c r="I51" s="22" t="str">
        <f t="shared" si="1"/>
        <v>N</v>
      </c>
      <c r="J51" s="18">
        <v>6</v>
      </c>
      <c r="K51" s="22" t="str">
        <f t="shared" si="2"/>
        <v>Y</v>
      </c>
      <c r="L51" s="18">
        <v>2</v>
      </c>
      <c r="M51" s="22" t="str">
        <f t="shared" si="3"/>
        <v>N</v>
      </c>
      <c r="N51" s="18">
        <v>7</v>
      </c>
      <c r="O51" s="22"/>
      <c r="P51" s="18"/>
      <c r="Q51" s="22"/>
      <c r="R51" s="23"/>
      <c r="S51" s="22" t="str">
        <f t="shared" si="4"/>
        <v>Y</v>
      </c>
      <c r="T51" s="18">
        <v>7</v>
      </c>
      <c r="U51" s="22" t="str">
        <f t="shared" si="5"/>
        <v>Y</v>
      </c>
      <c r="V51"/>
      <c r="W51"/>
    </row>
    <row r="52" spans="2:23" s="24" customFormat="1" ht="18" customHeight="1" thickBot="1">
      <c r="B52" s="15" t="e">
        <f>'[1]CO meet M or N'!B54</f>
        <v>#REF!</v>
      </c>
      <c r="C52" s="15">
        <v>40</v>
      </c>
      <c r="D52" s="128" t="s">
        <v>119</v>
      </c>
      <c r="E52" s="129" t="s">
        <v>198</v>
      </c>
      <c r="F52" s="18">
        <v>5</v>
      </c>
      <c r="G52" s="22" t="str">
        <f t="shared" si="0"/>
        <v>N</v>
      </c>
      <c r="H52" s="18">
        <v>4</v>
      </c>
      <c r="I52" s="22" t="str">
        <f t="shared" si="1"/>
        <v>N</v>
      </c>
      <c r="J52" s="18">
        <v>6</v>
      </c>
      <c r="K52" s="22" t="str">
        <f t="shared" si="2"/>
        <v>Y</v>
      </c>
      <c r="L52" s="18">
        <v>3</v>
      </c>
      <c r="M52" s="22" t="str">
        <f t="shared" si="3"/>
        <v>N</v>
      </c>
      <c r="N52" s="18">
        <v>8</v>
      </c>
      <c r="O52" s="22"/>
      <c r="P52" s="18"/>
      <c r="Q52" s="22"/>
      <c r="R52" s="23"/>
      <c r="S52" s="22" t="str">
        <f t="shared" si="4"/>
        <v>Y</v>
      </c>
      <c r="T52" s="18">
        <v>8</v>
      </c>
      <c r="U52" s="22" t="str">
        <f t="shared" si="5"/>
        <v>Y</v>
      </c>
      <c r="V52"/>
      <c r="W52"/>
    </row>
    <row r="53" spans="2:23" s="24" customFormat="1" ht="18" customHeight="1" thickBot="1">
      <c r="B53" s="15" t="e">
        <f>'[1]CO meet M or N'!B55</f>
        <v>#REF!</v>
      </c>
      <c r="C53" s="15">
        <v>41</v>
      </c>
      <c r="D53" s="128" t="s">
        <v>120</v>
      </c>
      <c r="E53" s="129" t="s">
        <v>199</v>
      </c>
      <c r="F53" s="18">
        <v>8</v>
      </c>
      <c r="G53" s="22" t="str">
        <f t="shared" si="0"/>
        <v>Y</v>
      </c>
      <c r="H53" s="18">
        <v>1</v>
      </c>
      <c r="I53" s="22" t="str">
        <f t="shared" si="1"/>
        <v>N</v>
      </c>
      <c r="J53" s="18">
        <v>7</v>
      </c>
      <c r="K53" s="22" t="str">
        <f t="shared" si="2"/>
        <v>Y</v>
      </c>
      <c r="L53" s="18">
        <v>0</v>
      </c>
      <c r="M53" s="22" t="str">
        <f t="shared" si="3"/>
        <v>N</v>
      </c>
      <c r="N53" s="18">
        <v>8</v>
      </c>
      <c r="O53" s="22"/>
      <c r="P53" s="18"/>
      <c r="Q53" s="22"/>
      <c r="R53" s="23"/>
      <c r="S53" s="22" t="str">
        <f t="shared" si="4"/>
        <v>Y</v>
      </c>
      <c r="T53" s="18">
        <v>8</v>
      </c>
      <c r="U53" s="22" t="str">
        <f t="shared" si="5"/>
        <v>Y</v>
      </c>
      <c r="V53"/>
      <c r="W53"/>
    </row>
    <row r="54" spans="2:23" s="24" customFormat="1" ht="18" customHeight="1" thickBot="1">
      <c r="B54" s="15" t="e">
        <f>'[1]CO meet M or N'!B56</f>
        <v>#REF!</v>
      </c>
      <c r="C54" s="15">
        <v>42</v>
      </c>
      <c r="D54" s="128" t="s">
        <v>121</v>
      </c>
      <c r="E54" s="129" t="s">
        <v>200</v>
      </c>
      <c r="F54" s="18">
        <v>6</v>
      </c>
      <c r="G54" s="22" t="str">
        <f t="shared" si="0"/>
        <v>Y</v>
      </c>
      <c r="H54" s="18">
        <v>4</v>
      </c>
      <c r="I54" s="22" t="str">
        <f t="shared" si="1"/>
        <v>N</v>
      </c>
      <c r="J54" s="18">
        <v>7</v>
      </c>
      <c r="K54" s="22" t="str">
        <f t="shared" si="2"/>
        <v>Y</v>
      </c>
      <c r="L54" s="18">
        <v>0</v>
      </c>
      <c r="M54" s="22" t="str">
        <f t="shared" si="3"/>
        <v>N</v>
      </c>
      <c r="N54" s="18">
        <v>8</v>
      </c>
      <c r="O54" s="22"/>
      <c r="P54" s="18"/>
      <c r="Q54" s="22"/>
      <c r="R54" s="23"/>
      <c r="S54" s="22" t="str">
        <f t="shared" si="4"/>
        <v>Y</v>
      </c>
      <c r="T54" s="18">
        <v>8</v>
      </c>
      <c r="U54" s="22" t="str">
        <f t="shared" si="5"/>
        <v>Y</v>
      </c>
      <c r="V54"/>
      <c r="W54"/>
    </row>
    <row r="55" spans="2:23" s="24" customFormat="1" ht="18" customHeight="1" thickBot="1">
      <c r="B55" s="15" t="e">
        <f>'[1]CO meet M or N'!B57</f>
        <v>#REF!</v>
      </c>
      <c r="C55" s="15">
        <v>43</v>
      </c>
      <c r="D55" s="128" t="s">
        <v>122</v>
      </c>
      <c r="E55" s="130" t="s">
        <v>201</v>
      </c>
      <c r="F55" s="18">
        <v>9</v>
      </c>
      <c r="G55" s="22" t="str">
        <f t="shared" si="0"/>
        <v>Y</v>
      </c>
      <c r="H55" s="18">
        <v>3</v>
      </c>
      <c r="I55" s="22" t="str">
        <f t="shared" si="1"/>
        <v>N</v>
      </c>
      <c r="J55" s="18">
        <v>7</v>
      </c>
      <c r="K55" s="22" t="str">
        <f t="shared" si="2"/>
        <v>Y</v>
      </c>
      <c r="L55" s="18">
        <v>2</v>
      </c>
      <c r="M55" s="22" t="str">
        <f t="shared" si="3"/>
        <v>N</v>
      </c>
      <c r="N55" s="18">
        <v>9</v>
      </c>
      <c r="O55" s="22"/>
      <c r="P55" s="18"/>
      <c r="Q55" s="22"/>
      <c r="R55" s="23"/>
      <c r="S55" s="22" t="str">
        <f t="shared" si="4"/>
        <v>Y</v>
      </c>
      <c r="T55" s="18">
        <v>9</v>
      </c>
      <c r="U55" s="22" t="str">
        <f t="shared" si="5"/>
        <v>Y</v>
      </c>
      <c r="V55"/>
      <c r="W55"/>
    </row>
    <row r="56" spans="2:23" s="24" customFormat="1" ht="18" customHeight="1" thickBot="1">
      <c r="B56" s="15" t="e">
        <f>'[1]CO meet M or N'!B58</f>
        <v>#REF!</v>
      </c>
      <c r="C56" s="15">
        <v>44</v>
      </c>
      <c r="D56" s="128" t="s">
        <v>123</v>
      </c>
      <c r="E56" s="129" t="s">
        <v>202</v>
      </c>
      <c r="F56" s="18">
        <v>10</v>
      </c>
      <c r="G56" s="22" t="str">
        <f t="shared" si="0"/>
        <v>Y</v>
      </c>
      <c r="H56" s="18">
        <v>10</v>
      </c>
      <c r="I56" s="22" t="str">
        <f t="shared" si="1"/>
        <v>Y</v>
      </c>
      <c r="J56" s="18">
        <v>6</v>
      </c>
      <c r="K56" s="22" t="str">
        <f t="shared" si="2"/>
        <v>Y</v>
      </c>
      <c r="L56" s="18">
        <v>4</v>
      </c>
      <c r="M56" s="22" t="str">
        <f t="shared" si="3"/>
        <v>N</v>
      </c>
      <c r="N56" s="18">
        <v>8</v>
      </c>
      <c r="O56" s="22"/>
      <c r="P56" s="18"/>
      <c r="Q56" s="22"/>
      <c r="R56" s="23"/>
      <c r="S56" s="22" t="str">
        <f t="shared" si="4"/>
        <v>Y</v>
      </c>
      <c r="T56" s="18">
        <v>8</v>
      </c>
      <c r="U56" s="22" t="str">
        <f t="shared" si="5"/>
        <v>Y</v>
      </c>
      <c r="V56"/>
      <c r="W56"/>
    </row>
    <row r="57" spans="2:23" s="24" customFormat="1" ht="18" customHeight="1" thickBot="1">
      <c r="B57" s="15" t="e">
        <f>'[1]CO meet M or N'!B59</f>
        <v>#REF!</v>
      </c>
      <c r="C57" s="15">
        <v>45</v>
      </c>
      <c r="D57" s="128" t="s">
        <v>124</v>
      </c>
      <c r="E57" s="129" t="s">
        <v>203</v>
      </c>
      <c r="F57" s="18">
        <v>7</v>
      </c>
      <c r="G57" s="22" t="str">
        <f t="shared" si="0"/>
        <v>Y</v>
      </c>
      <c r="H57" s="18">
        <v>0</v>
      </c>
      <c r="I57" s="22" t="str">
        <f t="shared" si="1"/>
        <v>N</v>
      </c>
      <c r="J57" s="18">
        <v>6</v>
      </c>
      <c r="K57" s="22" t="str">
        <f t="shared" si="2"/>
        <v>Y</v>
      </c>
      <c r="L57" s="18">
        <v>2</v>
      </c>
      <c r="M57" s="22" t="str">
        <f t="shared" si="3"/>
        <v>N</v>
      </c>
      <c r="N57" s="18">
        <v>8</v>
      </c>
      <c r="O57" s="22"/>
      <c r="P57" s="18"/>
      <c r="Q57" s="22"/>
      <c r="R57" s="23"/>
      <c r="S57" s="22" t="str">
        <f t="shared" si="4"/>
        <v>Y</v>
      </c>
      <c r="T57" s="18">
        <v>8</v>
      </c>
      <c r="U57" s="22" t="str">
        <f t="shared" si="5"/>
        <v>Y</v>
      </c>
      <c r="V57"/>
      <c r="W57"/>
    </row>
    <row r="58" spans="2:23" s="24" customFormat="1" ht="18" customHeight="1" thickBot="1">
      <c r="B58" s="15" t="e">
        <f>'[1]CO meet M or N'!B60</f>
        <v>#REF!</v>
      </c>
      <c r="C58" s="15">
        <v>46</v>
      </c>
      <c r="D58" s="128" t="s">
        <v>125</v>
      </c>
      <c r="E58" s="129" t="s">
        <v>204</v>
      </c>
      <c r="F58" s="18">
        <v>5</v>
      </c>
      <c r="G58" s="22" t="str">
        <f t="shared" si="0"/>
        <v>N</v>
      </c>
      <c r="H58" s="18">
        <v>2</v>
      </c>
      <c r="I58" s="22" t="str">
        <f t="shared" si="1"/>
        <v>N</v>
      </c>
      <c r="J58" s="111" t="s">
        <v>251</v>
      </c>
      <c r="K58" s="22" t="str">
        <f t="shared" si="2"/>
        <v>Y</v>
      </c>
      <c r="L58" s="111" t="s">
        <v>251</v>
      </c>
      <c r="M58" s="22" t="str">
        <f t="shared" si="3"/>
        <v>Y</v>
      </c>
      <c r="N58" s="18">
        <v>7</v>
      </c>
      <c r="O58" s="22"/>
      <c r="P58" s="18"/>
      <c r="Q58" s="22"/>
      <c r="R58" s="23"/>
      <c r="S58" s="22" t="str">
        <f t="shared" si="4"/>
        <v>Y</v>
      </c>
      <c r="T58" s="18">
        <v>7</v>
      </c>
      <c r="U58" s="22" t="str">
        <f t="shared" si="5"/>
        <v>Y</v>
      </c>
      <c r="V58"/>
      <c r="W58"/>
    </row>
    <row r="59" spans="2:23" s="24" customFormat="1" ht="18" customHeight="1" thickBot="1">
      <c r="B59" s="15" t="e">
        <f>'[1]CO meet M or N'!B61</f>
        <v>#REF!</v>
      </c>
      <c r="C59" s="15">
        <v>47</v>
      </c>
      <c r="D59" s="128" t="s">
        <v>126</v>
      </c>
      <c r="E59" s="129" t="s">
        <v>205</v>
      </c>
      <c r="F59" s="18">
        <v>10</v>
      </c>
      <c r="G59" s="22" t="str">
        <f t="shared" si="0"/>
        <v>Y</v>
      </c>
      <c r="H59" s="18">
        <v>5</v>
      </c>
      <c r="I59" s="22" t="str">
        <f t="shared" si="1"/>
        <v>N</v>
      </c>
      <c r="J59" s="18">
        <v>6</v>
      </c>
      <c r="K59" s="22" t="str">
        <f t="shared" si="2"/>
        <v>Y</v>
      </c>
      <c r="L59" s="18">
        <v>4</v>
      </c>
      <c r="M59" s="22" t="str">
        <f t="shared" si="3"/>
        <v>N</v>
      </c>
      <c r="N59" s="18">
        <v>9</v>
      </c>
      <c r="O59" s="22"/>
      <c r="P59" s="18"/>
      <c r="Q59" s="22"/>
      <c r="R59" s="23"/>
      <c r="S59" s="22" t="str">
        <f t="shared" si="4"/>
        <v>Y</v>
      </c>
      <c r="T59" s="18">
        <v>9</v>
      </c>
      <c r="U59" s="22" t="str">
        <f t="shared" si="5"/>
        <v>Y</v>
      </c>
      <c r="V59"/>
      <c r="W59"/>
    </row>
    <row r="60" spans="2:23" s="24" customFormat="1" ht="18" customHeight="1" thickBot="1">
      <c r="B60" s="15" t="e">
        <f>'[1]CO meet M or N'!B62</f>
        <v>#REF!</v>
      </c>
      <c r="C60" s="15">
        <v>48</v>
      </c>
      <c r="D60" s="128" t="s">
        <v>127</v>
      </c>
      <c r="E60" s="129" t="s">
        <v>206</v>
      </c>
      <c r="F60" s="18">
        <v>10</v>
      </c>
      <c r="G60" s="22" t="str">
        <f t="shared" si="0"/>
        <v>Y</v>
      </c>
      <c r="H60" s="18">
        <v>10</v>
      </c>
      <c r="I60" s="22" t="str">
        <f t="shared" si="1"/>
        <v>Y</v>
      </c>
      <c r="J60" s="18">
        <v>10</v>
      </c>
      <c r="K60" s="22" t="str">
        <f t="shared" si="2"/>
        <v>Y</v>
      </c>
      <c r="L60" s="18">
        <v>1</v>
      </c>
      <c r="M60" s="22" t="str">
        <f t="shared" si="3"/>
        <v>N</v>
      </c>
      <c r="N60" s="18">
        <v>9</v>
      </c>
      <c r="O60" s="22"/>
      <c r="P60" s="18"/>
      <c r="Q60" s="22"/>
      <c r="R60" s="23"/>
      <c r="S60" s="22" t="str">
        <f t="shared" si="4"/>
        <v>Y</v>
      </c>
      <c r="T60" s="18">
        <v>9</v>
      </c>
      <c r="U60" s="22" t="str">
        <f t="shared" si="5"/>
        <v>Y</v>
      </c>
      <c r="V60"/>
      <c r="W60"/>
    </row>
    <row r="61" spans="2:23" s="24" customFormat="1" ht="18" customHeight="1" thickBot="1">
      <c r="B61" s="15" t="e">
        <f>'[1]CO meet M or N'!B63</f>
        <v>#REF!</v>
      </c>
      <c r="C61" s="15">
        <v>49</v>
      </c>
      <c r="D61" s="128" t="s">
        <v>128</v>
      </c>
      <c r="E61" s="129" t="s">
        <v>207</v>
      </c>
      <c r="F61" s="18">
        <v>7</v>
      </c>
      <c r="G61" s="22" t="str">
        <f t="shared" si="0"/>
        <v>Y</v>
      </c>
      <c r="H61" s="18">
        <v>10</v>
      </c>
      <c r="I61" s="22" t="str">
        <f t="shared" si="1"/>
        <v>Y</v>
      </c>
      <c r="J61" s="18">
        <v>7</v>
      </c>
      <c r="K61" s="22" t="str">
        <f t="shared" si="2"/>
        <v>Y</v>
      </c>
      <c r="L61" s="18">
        <v>4</v>
      </c>
      <c r="M61" s="22" t="str">
        <f t="shared" si="3"/>
        <v>N</v>
      </c>
      <c r="N61" s="18">
        <v>10</v>
      </c>
      <c r="O61" s="22"/>
      <c r="P61" s="18"/>
      <c r="Q61" s="22"/>
      <c r="R61" s="23"/>
      <c r="S61" s="22" t="str">
        <f t="shared" si="4"/>
        <v>Y</v>
      </c>
      <c r="T61" s="18">
        <v>10</v>
      </c>
      <c r="U61" s="22" t="str">
        <f t="shared" si="5"/>
        <v>Y</v>
      </c>
      <c r="V61"/>
      <c r="W61"/>
    </row>
    <row r="62" spans="2:23" s="24" customFormat="1" ht="18" customHeight="1" thickBot="1">
      <c r="B62" s="15" t="e">
        <f>'[1]CO meet M or N'!B64</f>
        <v>#REF!</v>
      </c>
      <c r="C62" s="15">
        <v>50</v>
      </c>
      <c r="D62" s="128" t="s">
        <v>129</v>
      </c>
      <c r="E62" s="129" t="s">
        <v>208</v>
      </c>
      <c r="F62" s="111" t="s">
        <v>251</v>
      </c>
      <c r="G62" s="22" t="str">
        <f t="shared" si="0"/>
        <v>Y</v>
      </c>
      <c r="H62" s="111" t="s">
        <v>251</v>
      </c>
      <c r="I62" s="22" t="str">
        <f t="shared" si="1"/>
        <v>Y</v>
      </c>
      <c r="J62" s="18">
        <v>5</v>
      </c>
      <c r="K62" s="22" t="str">
        <f t="shared" si="2"/>
        <v>N</v>
      </c>
      <c r="L62" s="18">
        <v>5</v>
      </c>
      <c r="M62" s="22" t="str">
        <f t="shared" si="3"/>
        <v>N</v>
      </c>
      <c r="N62" s="18">
        <v>9</v>
      </c>
      <c r="O62" s="22"/>
      <c r="P62" s="18"/>
      <c r="Q62" s="22"/>
      <c r="R62" s="23"/>
      <c r="S62" s="22" t="str">
        <f t="shared" si="4"/>
        <v>Y</v>
      </c>
      <c r="T62" s="18">
        <v>9</v>
      </c>
      <c r="U62" s="22" t="str">
        <f t="shared" si="5"/>
        <v>Y</v>
      </c>
      <c r="V62"/>
      <c r="W62"/>
    </row>
    <row r="63" spans="2:23" s="24" customFormat="1" ht="18" customHeight="1" thickBot="1">
      <c r="B63" s="15" t="e">
        <f>'[1]CO meet M or N'!B65</f>
        <v>#REF!</v>
      </c>
      <c r="C63" s="15">
        <v>51</v>
      </c>
      <c r="D63" s="128" t="s">
        <v>130</v>
      </c>
      <c r="E63" s="130" t="s">
        <v>209</v>
      </c>
      <c r="F63" s="18">
        <v>4</v>
      </c>
      <c r="G63" s="22" t="str">
        <f t="shared" si="0"/>
        <v>N</v>
      </c>
      <c r="H63" s="18">
        <v>10</v>
      </c>
      <c r="I63" s="22" t="str">
        <f t="shared" si="1"/>
        <v>Y</v>
      </c>
      <c r="J63" s="111" t="s">
        <v>251</v>
      </c>
      <c r="K63" s="22" t="str">
        <f t="shared" si="2"/>
        <v>Y</v>
      </c>
      <c r="L63" s="111" t="s">
        <v>251</v>
      </c>
      <c r="M63" s="22" t="str">
        <f t="shared" si="3"/>
        <v>Y</v>
      </c>
      <c r="N63" s="18">
        <v>8</v>
      </c>
      <c r="O63" s="22"/>
      <c r="P63" s="18"/>
      <c r="Q63" s="22"/>
      <c r="R63" s="23"/>
      <c r="S63" s="22" t="str">
        <f t="shared" si="4"/>
        <v>Y</v>
      </c>
      <c r="T63" s="18">
        <v>8</v>
      </c>
      <c r="U63" s="22" t="str">
        <f t="shared" si="5"/>
        <v>Y</v>
      </c>
      <c r="V63"/>
      <c r="W63"/>
    </row>
    <row r="64" spans="2:23" s="24" customFormat="1" ht="18" customHeight="1" thickBot="1">
      <c r="B64" s="15" t="e">
        <f>'[1]CO meet M or N'!B67</f>
        <v>#REF!</v>
      </c>
      <c r="C64" s="15">
        <v>52</v>
      </c>
      <c r="D64" s="128" t="s">
        <v>131</v>
      </c>
      <c r="E64" s="129" t="s">
        <v>210</v>
      </c>
      <c r="F64" s="18">
        <v>10</v>
      </c>
      <c r="G64" s="22" t="str">
        <f t="shared" si="0"/>
        <v>Y</v>
      </c>
      <c r="H64" s="18">
        <v>10</v>
      </c>
      <c r="I64" s="22" t="str">
        <f t="shared" si="1"/>
        <v>Y</v>
      </c>
      <c r="J64" s="18">
        <v>7</v>
      </c>
      <c r="K64" s="22" t="str">
        <f t="shared" si="2"/>
        <v>Y</v>
      </c>
      <c r="L64" s="18">
        <v>8</v>
      </c>
      <c r="M64" s="22" t="str">
        <f t="shared" si="3"/>
        <v>Y</v>
      </c>
      <c r="N64" s="18">
        <v>8</v>
      </c>
      <c r="O64" s="22"/>
      <c r="P64" s="18"/>
      <c r="Q64" s="22"/>
      <c r="R64" s="23"/>
      <c r="S64" s="22" t="str">
        <f t="shared" si="4"/>
        <v>Y</v>
      </c>
      <c r="T64" s="18">
        <v>8</v>
      </c>
      <c r="U64" s="22" t="str">
        <f t="shared" si="5"/>
        <v>Y</v>
      </c>
      <c r="V64"/>
      <c r="W64"/>
    </row>
    <row r="65" spans="2:23" s="24" customFormat="1" ht="18" customHeight="1" thickBot="1">
      <c r="B65" s="15" t="e">
        <f>'[1]CO meet M or N'!B68</f>
        <v>#REF!</v>
      </c>
      <c r="C65" s="15">
        <v>53</v>
      </c>
      <c r="D65" s="128" t="s">
        <v>132</v>
      </c>
      <c r="E65" s="129" t="s">
        <v>211</v>
      </c>
      <c r="F65" s="18">
        <v>9</v>
      </c>
      <c r="G65" s="22" t="str">
        <f t="shared" si="0"/>
        <v>Y</v>
      </c>
      <c r="H65" s="18">
        <v>6</v>
      </c>
      <c r="I65" s="22" t="str">
        <f t="shared" si="1"/>
        <v>Y</v>
      </c>
      <c r="J65" s="18">
        <v>6</v>
      </c>
      <c r="K65" s="22" t="str">
        <f t="shared" si="2"/>
        <v>Y</v>
      </c>
      <c r="L65" s="18">
        <v>4</v>
      </c>
      <c r="M65" s="22" t="str">
        <f t="shared" si="3"/>
        <v>N</v>
      </c>
      <c r="N65" s="18">
        <v>8</v>
      </c>
      <c r="O65" s="22"/>
      <c r="P65" s="18"/>
      <c r="Q65" s="22"/>
      <c r="R65" s="23"/>
      <c r="S65" s="22" t="str">
        <f t="shared" si="4"/>
        <v>Y</v>
      </c>
      <c r="T65" s="18">
        <v>8</v>
      </c>
      <c r="U65" s="22" t="str">
        <f t="shared" si="5"/>
        <v>Y</v>
      </c>
      <c r="V65"/>
      <c r="W65"/>
    </row>
    <row r="66" spans="2:23" s="24" customFormat="1" ht="18" customHeight="1" thickBot="1">
      <c r="B66" s="15" t="e">
        <f>'[1]CO meet M or N'!B69</f>
        <v>#REF!</v>
      </c>
      <c r="C66" s="15">
        <v>54</v>
      </c>
      <c r="D66" s="128" t="s">
        <v>133</v>
      </c>
      <c r="E66" s="129" t="s">
        <v>212</v>
      </c>
      <c r="F66" s="18">
        <v>5</v>
      </c>
      <c r="G66" s="22" t="str">
        <f t="shared" si="0"/>
        <v>N</v>
      </c>
      <c r="H66" s="18">
        <v>2</v>
      </c>
      <c r="I66" s="22" t="str">
        <f t="shared" si="1"/>
        <v>N</v>
      </c>
      <c r="J66" s="18">
        <v>9</v>
      </c>
      <c r="K66" s="22" t="str">
        <f t="shared" si="2"/>
        <v>Y</v>
      </c>
      <c r="L66" s="18">
        <v>1</v>
      </c>
      <c r="M66" s="22" t="str">
        <f t="shared" si="3"/>
        <v>N</v>
      </c>
      <c r="N66" s="18">
        <v>9</v>
      </c>
      <c r="O66" s="22"/>
      <c r="P66" s="18"/>
      <c r="Q66" s="22"/>
      <c r="R66" s="23"/>
      <c r="S66" s="22" t="str">
        <f t="shared" si="4"/>
        <v>Y</v>
      </c>
      <c r="T66" s="18">
        <v>9</v>
      </c>
      <c r="U66" s="22" t="str">
        <f t="shared" si="5"/>
        <v>Y</v>
      </c>
      <c r="V66"/>
      <c r="W66"/>
    </row>
    <row r="67" spans="2:23" s="24" customFormat="1" ht="18" customHeight="1" thickBot="1">
      <c r="B67" s="15" t="e">
        <f>'[1]CO meet M or N'!B70</f>
        <v>#REF!</v>
      </c>
      <c r="C67" s="15">
        <v>55</v>
      </c>
      <c r="D67" s="128" t="s">
        <v>134</v>
      </c>
      <c r="E67" s="129" t="s">
        <v>213</v>
      </c>
      <c r="F67" s="18">
        <v>10</v>
      </c>
      <c r="G67" s="22" t="str">
        <f t="shared" si="0"/>
        <v>Y</v>
      </c>
      <c r="H67" s="18">
        <v>6</v>
      </c>
      <c r="I67" s="22" t="str">
        <f t="shared" si="1"/>
        <v>Y</v>
      </c>
      <c r="J67" s="18">
        <v>7</v>
      </c>
      <c r="K67" s="22" t="str">
        <f t="shared" si="2"/>
        <v>Y</v>
      </c>
      <c r="L67" s="18">
        <v>0</v>
      </c>
      <c r="M67" s="22" t="str">
        <f t="shared" si="3"/>
        <v>N</v>
      </c>
      <c r="N67" s="18">
        <v>10</v>
      </c>
      <c r="O67" s="22"/>
      <c r="P67" s="18"/>
      <c r="Q67" s="22"/>
      <c r="R67" s="23"/>
      <c r="S67" s="22" t="str">
        <f t="shared" si="4"/>
        <v>Y</v>
      </c>
      <c r="T67" s="18">
        <v>10</v>
      </c>
      <c r="U67" s="22" t="str">
        <f t="shared" si="5"/>
        <v>Y</v>
      </c>
      <c r="V67"/>
      <c r="W67"/>
    </row>
    <row r="68" spans="2:23" s="24" customFormat="1" ht="18" customHeight="1" thickBot="1">
      <c r="B68" s="15" t="e">
        <f>'[1]CO meet M or N'!B71</f>
        <v>#REF!</v>
      </c>
      <c r="C68" s="15">
        <v>56</v>
      </c>
      <c r="D68" s="128" t="s">
        <v>135</v>
      </c>
      <c r="E68" s="129" t="s">
        <v>214</v>
      </c>
      <c r="F68" s="18">
        <v>10</v>
      </c>
      <c r="G68" s="22" t="str">
        <f t="shared" si="0"/>
        <v>Y</v>
      </c>
      <c r="H68" s="18">
        <v>5</v>
      </c>
      <c r="I68" s="22" t="str">
        <f t="shared" si="1"/>
        <v>N</v>
      </c>
      <c r="J68" s="18">
        <v>6</v>
      </c>
      <c r="K68" s="22" t="str">
        <f t="shared" si="2"/>
        <v>Y</v>
      </c>
      <c r="L68" s="18">
        <v>4</v>
      </c>
      <c r="M68" s="22" t="str">
        <f t="shared" si="3"/>
        <v>N</v>
      </c>
      <c r="N68" s="18">
        <v>8</v>
      </c>
      <c r="O68" s="22"/>
      <c r="P68" s="18"/>
      <c r="Q68" s="22"/>
      <c r="R68" s="23"/>
      <c r="S68" s="22" t="str">
        <f t="shared" si="4"/>
        <v>Y</v>
      </c>
      <c r="T68" s="18">
        <v>8</v>
      </c>
      <c r="U68" s="22" t="str">
        <f t="shared" si="5"/>
        <v>Y</v>
      </c>
      <c r="V68"/>
      <c r="W68"/>
    </row>
    <row r="69" spans="2:23" s="24" customFormat="1" ht="18" customHeight="1" thickBot="1">
      <c r="B69" s="15" t="e">
        <f>'[1]CO meet M or N'!B72</f>
        <v>#REF!</v>
      </c>
      <c r="C69" s="15">
        <v>57</v>
      </c>
      <c r="D69" s="128" t="s">
        <v>136</v>
      </c>
      <c r="E69" s="129" t="s">
        <v>215</v>
      </c>
      <c r="F69" s="18">
        <v>10</v>
      </c>
      <c r="G69" s="22" t="str">
        <f t="shared" si="0"/>
        <v>Y</v>
      </c>
      <c r="H69" s="18">
        <v>10</v>
      </c>
      <c r="I69" s="22" t="str">
        <f t="shared" si="1"/>
        <v>Y</v>
      </c>
      <c r="J69" s="18">
        <v>6</v>
      </c>
      <c r="K69" s="22" t="str">
        <f t="shared" si="2"/>
        <v>Y</v>
      </c>
      <c r="L69" s="18">
        <v>5</v>
      </c>
      <c r="M69" s="22" t="str">
        <f t="shared" si="3"/>
        <v>N</v>
      </c>
      <c r="N69" s="18">
        <v>9</v>
      </c>
      <c r="O69" s="22"/>
      <c r="P69" s="18"/>
      <c r="Q69" s="22"/>
      <c r="R69" s="23"/>
      <c r="S69" s="22" t="str">
        <f t="shared" si="4"/>
        <v>Y</v>
      </c>
      <c r="T69" s="18">
        <v>9</v>
      </c>
      <c r="U69" s="22" t="str">
        <f t="shared" si="5"/>
        <v>Y</v>
      </c>
      <c r="V69"/>
      <c r="W69"/>
    </row>
    <row r="70" spans="2:23" s="24" customFormat="1" ht="18" customHeight="1" thickBot="1">
      <c r="B70" s="15" t="e">
        <f>'[1]CO meet M or N'!B73</f>
        <v>#REF!</v>
      </c>
      <c r="C70" s="15">
        <v>58</v>
      </c>
      <c r="D70" s="128" t="s">
        <v>137</v>
      </c>
      <c r="E70" s="129" t="s">
        <v>216</v>
      </c>
      <c r="F70" s="18">
        <v>10</v>
      </c>
      <c r="G70" s="22" t="str">
        <f t="shared" si="0"/>
        <v>Y</v>
      </c>
      <c r="H70" s="18">
        <v>10</v>
      </c>
      <c r="I70" s="22" t="str">
        <f t="shared" si="1"/>
        <v>Y</v>
      </c>
      <c r="J70" s="18">
        <v>6</v>
      </c>
      <c r="K70" s="22" t="str">
        <f t="shared" si="2"/>
        <v>Y</v>
      </c>
      <c r="L70" s="18">
        <v>4</v>
      </c>
      <c r="M70" s="22" t="str">
        <f t="shared" si="3"/>
        <v>N</v>
      </c>
      <c r="N70" s="18">
        <v>8</v>
      </c>
      <c r="O70" s="22"/>
      <c r="P70" s="18"/>
      <c r="Q70" s="22"/>
      <c r="R70" s="23"/>
      <c r="S70" s="22" t="str">
        <f t="shared" si="4"/>
        <v>Y</v>
      </c>
      <c r="T70" s="18">
        <v>8</v>
      </c>
      <c r="U70" s="22" t="str">
        <f t="shared" si="5"/>
        <v>Y</v>
      </c>
      <c r="V70"/>
      <c r="W70"/>
    </row>
    <row r="71" spans="2:23" s="24" customFormat="1" ht="18" customHeight="1" thickBot="1">
      <c r="B71" s="15" t="e">
        <f>'[1]CO meet M or N'!B74</f>
        <v>#REF!</v>
      </c>
      <c r="C71" s="15">
        <v>59</v>
      </c>
      <c r="D71" s="128" t="s">
        <v>138</v>
      </c>
      <c r="E71" s="129" t="s">
        <v>217</v>
      </c>
      <c r="F71" s="18">
        <v>7</v>
      </c>
      <c r="G71" s="22" t="str">
        <f t="shared" si="0"/>
        <v>Y</v>
      </c>
      <c r="H71" s="18">
        <v>0</v>
      </c>
      <c r="I71" s="22" t="str">
        <f t="shared" si="1"/>
        <v>N</v>
      </c>
      <c r="J71" s="18">
        <v>5</v>
      </c>
      <c r="K71" s="22" t="str">
        <f t="shared" si="2"/>
        <v>N</v>
      </c>
      <c r="L71" s="18">
        <v>0</v>
      </c>
      <c r="M71" s="22" t="str">
        <f t="shared" si="3"/>
        <v>N</v>
      </c>
      <c r="N71" s="18">
        <v>9</v>
      </c>
      <c r="O71" s="22"/>
      <c r="P71" s="18"/>
      <c r="Q71" s="22"/>
      <c r="R71" s="23"/>
      <c r="S71" s="22" t="str">
        <f t="shared" si="4"/>
        <v>Y</v>
      </c>
      <c r="T71" s="18">
        <v>9</v>
      </c>
      <c r="U71" s="22" t="str">
        <f t="shared" si="5"/>
        <v>Y</v>
      </c>
      <c r="V71"/>
      <c r="W71"/>
    </row>
    <row r="72" spans="2:23" s="24" customFormat="1" ht="18" customHeight="1" thickBot="1">
      <c r="B72" s="15" t="e">
        <f>'[1]CO meet M or N'!B75</f>
        <v>#REF!</v>
      </c>
      <c r="C72" s="15">
        <v>60</v>
      </c>
      <c r="D72" s="128" t="s">
        <v>139</v>
      </c>
      <c r="E72" s="129" t="s">
        <v>218</v>
      </c>
      <c r="F72" s="18">
        <v>5</v>
      </c>
      <c r="G72" s="22" t="str">
        <f t="shared" si="0"/>
        <v>N</v>
      </c>
      <c r="H72" s="18">
        <v>4</v>
      </c>
      <c r="I72" s="22" t="str">
        <f t="shared" si="1"/>
        <v>N</v>
      </c>
      <c r="J72" s="18">
        <v>7</v>
      </c>
      <c r="K72" s="22" t="str">
        <f t="shared" si="2"/>
        <v>Y</v>
      </c>
      <c r="L72" s="18">
        <v>8</v>
      </c>
      <c r="M72" s="22" t="str">
        <f t="shared" si="3"/>
        <v>Y</v>
      </c>
      <c r="N72" s="18">
        <v>9</v>
      </c>
      <c r="O72" s="22"/>
      <c r="P72" s="18"/>
      <c r="Q72" s="22"/>
      <c r="R72" s="23"/>
      <c r="S72" s="22" t="str">
        <f t="shared" si="4"/>
        <v>Y</v>
      </c>
      <c r="T72" s="18">
        <v>9</v>
      </c>
      <c r="U72" s="22" t="str">
        <f t="shared" si="5"/>
        <v>Y</v>
      </c>
      <c r="V72"/>
      <c r="W72"/>
    </row>
    <row r="73" spans="2:23" s="24" customFormat="1" ht="18" customHeight="1" thickBot="1">
      <c r="B73" s="15" t="e">
        <f>'[1]CO meet M or N'!B77</f>
        <v>#REF!</v>
      </c>
      <c r="C73" s="15">
        <v>61</v>
      </c>
      <c r="D73" s="131" t="s">
        <v>140</v>
      </c>
      <c r="E73" s="129" t="s">
        <v>219</v>
      </c>
      <c r="F73" s="18">
        <v>1</v>
      </c>
      <c r="G73" s="22" t="str">
        <f t="shared" si="0"/>
        <v>N</v>
      </c>
      <c r="H73" s="18">
        <v>1</v>
      </c>
      <c r="I73" s="22" t="str">
        <f t="shared" si="1"/>
        <v>N</v>
      </c>
      <c r="J73" s="111" t="s">
        <v>251</v>
      </c>
      <c r="K73" s="22" t="str">
        <f t="shared" si="2"/>
        <v>Y</v>
      </c>
      <c r="L73" s="111" t="s">
        <v>251</v>
      </c>
      <c r="M73" s="22" t="str">
        <f t="shared" si="3"/>
        <v>Y</v>
      </c>
      <c r="N73" s="18">
        <v>8</v>
      </c>
      <c r="O73" s="22"/>
      <c r="P73" s="18"/>
      <c r="Q73" s="22"/>
      <c r="R73" s="23"/>
      <c r="S73" s="22" t="str">
        <f t="shared" si="4"/>
        <v>Y</v>
      </c>
      <c r="T73" s="18">
        <v>8</v>
      </c>
      <c r="U73" s="22" t="str">
        <f t="shared" si="5"/>
        <v>Y</v>
      </c>
      <c r="V73"/>
      <c r="W73"/>
    </row>
    <row r="74" spans="2:23" s="24" customFormat="1" ht="18" customHeight="1" thickBot="1">
      <c r="B74" s="15" t="e">
        <f>'[1]CO meet M or N'!B78</f>
        <v>#REF!</v>
      </c>
      <c r="C74" s="15">
        <v>62</v>
      </c>
      <c r="D74" s="128" t="s">
        <v>141</v>
      </c>
      <c r="E74" s="129" t="s">
        <v>220</v>
      </c>
      <c r="F74" s="18">
        <v>5</v>
      </c>
      <c r="G74" s="22" t="str">
        <f t="shared" si="0"/>
        <v>N</v>
      </c>
      <c r="H74" s="18">
        <v>3</v>
      </c>
      <c r="I74" s="22" t="str">
        <f t="shared" si="1"/>
        <v>N</v>
      </c>
      <c r="J74" s="18">
        <v>6</v>
      </c>
      <c r="K74" s="22" t="str">
        <f t="shared" si="2"/>
        <v>Y</v>
      </c>
      <c r="L74" s="18">
        <v>3</v>
      </c>
      <c r="M74" s="22" t="str">
        <f t="shared" si="3"/>
        <v>N</v>
      </c>
      <c r="N74" s="18">
        <v>8</v>
      </c>
      <c r="O74" s="22"/>
      <c r="P74" s="18"/>
      <c r="Q74" s="22"/>
      <c r="R74" s="23"/>
      <c r="S74" s="22" t="str">
        <f t="shared" si="4"/>
        <v>Y</v>
      </c>
      <c r="T74" s="18">
        <v>8</v>
      </c>
      <c r="U74" s="22" t="str">
        <f t="shared" si="5"/>
        <v>Y</v>
      </c>
      <c r="V74"/>
      <c r="W74"/>
    </row>
    <row r="75" spans="2:23" s="24" customFormat="1" ht="18" customHeight="1" thickBot="1">
      <c r="B75" s="15" t="e">
        <f>'[1]CO meet M or N'!B79</f>
        <v>#REF!</v>
      </c>
      <c r="C75" s="15">
        <v>63</v>
      </c>
      <c r="D75" s="128" t="s">
        <v>142</v>
      </c>
      <c r="E75" s="129" t="s">
        <v>221</v>
      </c>
      <c r="F75" s="18">
        <v>10</v>
      </c>
      <c r="G75" s="22" t="str">
        <f t="shared" si="0"/>
        <v>Y</v>
      </c>
      <c r="H75" s="18">
        <v>8</v>
      </c>
      <c r="I75" s="22" t="str">
        <f t="shared" si="1"/>
        <v>Y</v>
      </c>
      <c r="J75" s="18">
        <v>7</v>
      </c>
      <c r="K75" s="22" t="str">
        <f t="shared" si="2"/>
        <v>Y</v>
      </c>
      <c r="L75" s="18">
        <v>5</v>
      </c>
      <c r="M75" s="22" t="str">
        <f t="shared" si="3"/>
        <v>N</v>
      </c>
      <c r="N75" s="18">
        <v>9</v>
      </c>
      <c r="O75" s="22"/>
      <c r="P75" s="18"/>
      <c r="Q75" s="22"/>
      <c r="R75" s="23"/>
      <c r="S75" s="22" t="str">
        <f t="shared" si="4"/>
        <v>Y</v>
      </c>
      <c r="T75" s="18">
        <v>9</v>
      </c>
      <c r="U75" s="22" t="str">
        <f t="shared" si="5"/>
        <v>Y</v>
      </c>
      <c r="V75"/>
      <c r="W75"/>
    </row>
    <row r="76" spans="2:23" s="24" customFormat="1" ht="18" customHeight="1" thickBot="1">
      <c r="B76" s="15" t="e">
        <f>'[1]CO meet M or N'!B80</f>
        <v>#REF!</v>
      </c>
      <c r="C76" s="15">
        <v>64</v>
      </c>
      <c r="D76" s="128" t="s">
        <v>143</v>
      </c>
      <c r="E76" s="129" t="s">
        <v>222</v>
      </c>
      <c r="F76" s="18">
        <v>7</v>
      </c>
      <c r="G76" s="22" t="str">
        <f t="shared" si="0"/>
        <v>Y</v>
      </c>
      <c r="H76" s="18">
        <v>9</v>
      </c>
      <c r="I76" s="22" t="str">
        <f t="shared" si="1"/>
        <v>Y</v>
      </c>
      <c r="J76" s="18">
        <v>8</v>
      </c>
      <c r="K76" s="22" t="str">
        <f t="shared" si="2"/>
        <v>Y</v>
      </c>
      <c r="L76" s="18">
        <v>0</v>
      </c>
      <c r="M76" s="22" t="str">
        <f t="shared" si="3"/>
        <v>N</v>
      </c>
      <c r="N76" s="18">
        <v>10</v>
      </c>
      <c r="O76" s="22"/>
      <c r="P76" s="18"/>
      <c r="Q76" s="22"/>
      <c r="R76" s="23"/>
      <c r="S76" s="22" t="str">
        <f t="shared" si="4"/>
        <v>Y</v>
      </c>
      <c r="T76" s="18">
        <v>10</v>
      </c>
      <c r="U76" s="22" t="str">
        <f t="shared" si="5"/>
        <v>Y</v>
      </c>
      <c r="V76"/>
      <c r="W76"/>
    </row>
    <row r="77" spans="2:23" s="24" customFormat="1" ht="18" customHeight="1" thickBot="1">
      <c r="B77" s="15" t="e">
        <f>'[1]CO meet M or N'!B81</f>
        <v>#REF!</v>
      </c>
      <c r="C77" s="15">
        <v>65</v>
      </c>
      <c r="D77" s="128" t="s">
        <v>144</v>
      </c>
      <c r="E77" s="129" t="s">
        <v>223</v>
      </c>
      <c r="F77" s="18">
        <v>9</v>
      </c>
      <c r="G77" s="22" t="str">
        <f t="shared" si="0"/>
        <v>Y</v>
      </c>
      <c r="H77" s="18">
        <v>9</v>
      </c>
      <c r="I77" s="22" t="str">
        <f t="shared" si="1"/>
        <v>Y</v>
      </c>
      <c r="J77" s="18">
        <v>7</v>
      </c>
      <c r="K77" s="22" t="str">
        <f t="shared" si="2"/>
        <v>Y</v>
      </c>
      <c r="L77" s="18">
        <v>8</v>
      </c>
      <c r="M77" s="22" t="str">
        <f t="shared" si="3"/>
        <v>Y</v>
      </c>
      <c r="N77" s="18">
        <v>8</v>
      </c>
      <c r="O77" s="22"/>
      <c r="P77" s="18"/>
      <c r="Q77" s="22"/>
      <c r="R77" s="23"/>
      <c r="S77" s="22" t="str">
        <f t="shared" si="4"/>
        <v>Y</v>
      </c>
      <c r="T77" s="18">
        <v>8</v>
      </c>
      <c r="U77" s="22" t="str">
        <f t="shared" si="5"/>
        <v>Y</v>
      </c>
      <c r="V77"/>
      <c r="W77"/>
    </row>
    <row r="78" spans="2:23" s="24" customFormat="1" ht="18" customHeight="1" thickBot="1">
      <c r="B78" s="15" t="e">
        <f>'[1]CO meet M or N'!B82</f>
        <v>#REF!</v>
      </c>
      <c r="C78" s="15">
        <v>66</v>
      </c>
      <c r="D78" s="128" t="s">
        <v>145</v>
      </c>
      <c r="E78" s="129" t="s">
        <v>224</v>
      </c>
      <c r="F78" s="18">
        <v>10</v>
      </c>
      <c r="G78" s="22" t="str">
        <f t="shared" ref="G78:G93" si="6">IF(F78="","NA",IF(F78&gt;=6,"Y","N"))</f>
        <v>Y</v>
      </c>
      <c r="H78" s="18">
        <v>10</v>
      </c>
      <c r="I78" s="22" t="str">
        <f t="shared" ref="I78:I93" si="7">IF(H78="","NA",IF(H78&gt;=6,"Y","N"))</f>
        <v>Y</v>
      </c>
      <c r="J78" s="18">
        <v>6</v>
      </c>
      <c r="K78" s="22" t="str">
        <f t="shared" ref="K78:K93" si="8">IF(J78="","NA",IF(J78&gt;=6,"Y","N"))</f>
        <v>Y</v>
      </c>
      <c r="L78" s="18">
        <v>4</v>
      </c>
      <c r="M78" s="22" t="str">
        <f t="shared" ref="M78:M93" si="9">IF(L78="","NA",IF(L78&gt;=6,"Y","N"))</f>
        <v>N</v>
      </c>
      <c r="N78" s="18">
        <v>8</v>
      </c>
      <c r="O78" s="22"/>
      <c r="P78" s="18"/>
      <c r="Q78" s="22"/>
      <c r="R78" s="23"/>
      <c r="S78" s="22" t="str">
        <f t="shared" ref="S78:S93" si="10">IF(N78="","NA",IF(N78&gt;=6,"Y","N"))</f>
        <v>Y</v>
      </c>
      <c r="T78" s="18">
        <v>8</v>
      </c>
      <c r="U78" s="22" t="str">
        <f t="shared" ref="U78:U93" si="11">IF(T78="","NA",IF(T78&gt;=6,"Y","N"))</f>
        <v>Y</v>
      </c>
      <c r="V78"/>
      <c r="W78"/>
    </row>
    <row r="79" spans="2:23" s="24" customFormat="1" ht="18" customHeight="1" thickBot="1">
      <c r="B79" s="15" t="e">
        <f>'[1]CO meet M or N'!B83</f>
        <v>#REF!</v>
      </c>
      <c r="C79" s="15">
        <v>67</v>
      </c>
      <c r="D79" s="128" t="s">
        <v>146</v>
      </c>
      <c r="E79" s="129" t="s">
        <v>225</v>
      </c>
      <c r="F79" s="18">
        <v>4</v>
      </c>
      <c r="G79" s="22" t="str">
        <f t="shared" si="6"/>
        <v>N</v>
      </c>
      <c r="H79" s="18">
        <v>0</v>
      </c>
      <c r="I79" s="22" t="str">
        <f t="shared" si="7"/>
        <v>N</v>
      </c>
      <c r="J79" s="111" t="s">
        <v>251</v>
      </c>
      <c r="K79" s="22" t="str">
        <f t="shared" si="8"/>
        <v>Y</v>
      </c>
      <c r="L79" s="111" t="s">
        <v>251</v>
      </c>
      <c r="M79" s="22" t="str">
        <f t="shared" si="9"/>
        <v>Y</v>
      </c>
      <c r="N79" s="18">
        <v>9</v>
      </c>
      <c r="O79" s="22"/>
      <c r="P79" s="18"/>
      <c r="Q79" s="22"/>
      <c r="R79" s="23"/>
      <c r="S79" s="22" t="str">
        <f t="shared" si="10"/>
        <v>Y</v>
      </c>
      <c r="T79" s="18">
        <v>9</v>
      </c>
      <c r="U79" s="22" t="str">
        <f t="shared" si="11"/>
        <v>Y</v>
      </c>
      <c r="V79"/>
      <c r="W79"/>
    </row>
    <row r="80" spans="2:23" s="24" customFormat="1" ht="18" customHeight="1" thickBot="1">
      <c r="B80" s="15" t="e">
        <f>'[1]CO meet M or N'!B84</f>
        <v>#REF!</v>
      </c>
      <c r="C80" s="15">
        <v>68</v>
      </c>
      <c r="D80" s="128" t="s">
        <v>147</v>
      </c>
      <c r="E80" s="129" t="s">
        <v>226</v>
      </c>
      <c r="F80" s="18">
        <v>2</v>
      </c>
      <c r="G80" s="22" t="str">
        <f t="shared" si="6"/>
        <v>N</v>
      </c>
      <c r="H80" s="18">
        <v>2</v>
      </c>
      <c r="I80" s="22" t="str">
        <f t="shared" si="7"/>
        <v>N</v>
      </c>
      <c r="J80" s="18">
        <v>6</v>
      </c>
      <c r="K80" s="22" t="str">
        <f t="shared" si="8"/>
        <v>Y</v>
      </c>
      <c r="L80" s="18">
        <v>4</v>
      </c>
      <c r="M80" s="22" t="str">
        <f t="shared" si="9"/>
        <v>N</v>
      </c>
      <c r="N80" s="18">
        <v>8</v>
      </c>
      <c r="O80" s="22"/>
      <c r="P80" s="18"/>
      <c r="Q80" s="22"/>
      <c r="R80" s="23"/>
      <c r="S80" s="22" t="str">
        <f t="shared" si="10"/>
        <v>Y</v>
      </c>
      <c r="T80" s="18">
        <v>8</v>
      </c>
      <c r="U80" s="22" t="str">
        <f t="shared" si="11"/>
        <v>Y</v>
      </c>
      <c r="V80"/>
      <c r="W80"/>
    </row>
    <row r="81" spans="2:23" s="24" customFormat="1" ht="18" customHeight="1" thickBot="1">
      <c r="B81" s="15" t="e">
        <f>'[1]CO meet M or N'!B85</f>
        <v>#REF!</v>
      </c>
      <c r="C81" s="15">
        <v>69</v>
      </c>
      <c r="D81" s="128" t="s">
        <v>148</v>
      </c>
      <c r="E81" s="129" t="s">
        <v>227</v>
      </c>
      <c r="F81" s="18">
        <v>4</v>
      </c>
      <c r="G81" s="22" t="str">
        <f t="shared" si="6"/>
        <v>N</v>
      </c>
      <c r="H81" s="18">
        <v>1</v>
      </c>
      <c r="I81" s="22" t="str">
        <f t="shared" si="7"/>
        <v>N</v>
      </c>
      <c r="J81" s="111" t="s">
        <v>251</v>
      </c>
      <c r="K81" s="22" t="str">
        <f t="shared" si="8"/>
        <v>Y</v>
      </c>
      <c r="L81" s="111" t="s">
        <v>251</v>
      </c>
      <c r="M81" s="22" t="str">
        <f t="shared" si="9"/>
        <v>Y</v>
      </c>
      <c r="N81" s="18">
        <v>9</v>
      </c>
      <c r="O81" s="22"/>
      <c r="P81" s="18"/>
      <c r="Q81" s="22"/>
      <c r="R81" s="23"/>
      <c r="S81" s="22" t="str">
        <f t="shared" si="10"/>
        <v>Y</v>
      </c>
      <c r="T81" s="18">
        <v>9</v>
      </c>
      <c r="U81" s="22" t="str">
        <f t="shared" si="11"/>
        <v>Y</v>
      </c>
      <c r="V81"/>
      <c r="W81"/>
    </row>
    <row r="82" spans="2:23" s="24" customFormat="1" ht="18" customHeight="1" thickBot="1">
      <c r="B82" s="15" t="e">
        <f>'[1]CO meet M or N'!B86</f>
        <v>#REF!</v>
      </c>
      <c r="C82" s="15">
        <v>70</v>
      </c>
      <c r="D82" s="128" t="s">
        <v>149</v>
      </c>
      <c r="E82" s="129" t="s">
        <v>228</v>
      </c>
      <c r="F82" s="25">
        <v>10</v>
      </c>
      <c r="G82" s="22" t="str">
        <f t="shared" si="6"/>
        <v>Y</v>
      </c>
      <c r="H82" s="25">
        <v>6</v>
      </c>
      <c r="I82" s="22" t="str">
        <f t="shared" si="7"/>
        <v>Y</v>
      </c>
      <c r="J82" s="18">
        <v>6</v>
      </c>
      <c r="K82" s="22" t="str">
        <f t="shared" si="8"/>
        <v>Y</v>
      </c>
      <c r="L82" s="25">
        <v>4</v>
      </c>
      <c r="M82" s="22" t="str">
        <f t="shared" si="9"/>
        <v>N</v>
      </c>
      <c r="N82" s="39">
        <v>7</v>
      </c>
      <c r="O82" s="35"/>
      <c r="P82" s="25"/>
      <c r="Q82" s="35"/>
      <c r="R82" s="23"/>
      <c r="S82" s="22" t="str">
        <f t="shared" si="10"/>
        <v>Y</v>
      </c>
      <c r="T82" s="18">
        <v>7</v>
      </c>
      <c r="U82" s="22" t="str">
        <f t="shared" si="11"/>
        <v>Y</v>
      </c>
      <c r="V82"/>
      <c r="W82"/>
    </row>
    <row r="83" spans="2:23" s="24" customFormat="1" ht="18" customHeight="1" thickBot="1">
      <c r="B83" s="15" t="e">
        <f>'[1]CO meet M or N'!B87</f>
        <v>#REF!</v>
      </c>
      <c r="C83" s="15">
        <v>71</v>
      </c>
      <c r="D83" s="128" t="s">
        <v>150</v>
      </c>
      <c r="E83" s="129" t="s">
        <v>229</v>
      </c>
      <c r="F83" s="25">
        <v>9</v>
      </c>
      <c r="G83" s="22" t="str">
        <f t="shared" si="6"/>
        <v>Y</v>
      </c>
      <c r="H83" s="25">
        <v>8</v>
      </c>
      <c r="I83" s="22" t="str">
        <f t="shared" si="7"/>
        <v>Y</v>
      </c>
      <c r="J83" s="25">
        <v>7</v>
      </c>
      <c r="K83" s="22" t="str">
        <f t="shared" si="8"/>
        <v>Y</v>
      </c>
      <c r="L83" s="25">
        <v>8</v>
      </c>
      <c r="M83" s="22" t="str">
        <f t="shared" si="9"/>
        <v>Y</v>
      </c>
      <c r="N83" s="39">
        <v>8</v>
      </c>
      <c r="O83" s="35"/>
      <c r="P83" s="25"/>
      <c r="Q83" s="35"/>
      <c r="R83" s="23"/>
      <c r="S83" s="22" t="str">
        <f t="shared" si="10"/>
        <v>Y</v>
      </c>
      <c r="T83" s="39">
        <v>8</v>
      </c>
      <c r="U83" s="22" t="str">
        <f t="shared" si="11"/>
        <v>Y</v>
      </c>
      <c r="V83"/>
      <c r="W83"/>
    </row>
    <row r="84" spans="2:23" s="24" customFormat="1" ht="18" customHeight="1" thickBot="1">
      <c r="B84" s="15" t="e">
        <f>'[1]CO meet M or N'!B88</f>
        <v>#REF!</v>
      </c>
      <c r="C84" s="15">
        <v>72</v>
      </c>
      <c r="D84" s="128" t="s">
        <v>151</v>
      </c>
      <c r="E84" s="129" t="s">
        <v>230</v>
      </c>
      <c r="F84" s="108" t="s">
        <v>251</v>
      </c>
      <c r="G84" s="22" t="str">
        <f t="shared" si="6"/>
        <v>Y</v>
      </c>
      <c r="H84" s="108" t="s">
        <v>251</v>
      </c>
      <c r="I84" s="22" t="str">
        <f t="shared" si="7"/>
        <v>Y</v>
      </c>
      <c r="J84" s="25">
        <v>6</v>
      </c>
      <c r="K84" s="22" t="str">
        <f t="shared" si="8"/>
        <v>Y</v>
      </c>
      <c r="L84" s="25">
        <v>4</v>
      </c>
      <c r="M84" s="22" t="str">
        <f t="shared" si="9"/>
        <v>N</v>
      </c>
      <c r="N84" s="39">
        <v>9</v>
      </c>
      <c r="O84" s="35"/>
      <c r="P84" s="25"/>
      <c r="Q84" s="35"/>
      <c r="R84" s="23"/>
      <c r="S84" s="22" t="str">
        <f t="shared" si="10"/>
        <v>Y</v>
      </c>
      <c r="T84" s="39">
        <v>9</v>
      </c>
      <c r="U84" s="22" t="str">
        <f t="shared" si="11"/>
        <v>Y</v>
      </c>
      <c r="V84"/>
      <c r="W84"/>
    </row>
    <row r="85" spans="2:23" s="24" customFormat="1" ht="18" customHeight="1" thickBot="1">
      <c r="B85" s="15" t="e">
        <f>'[1]CO meet M or N'!B89</f>
        <v>#REF!</v>
      </c>
      <c r="C85" s="15">
        <v>73</v>
      </c>
      <c r="D85" s="128" t="s">
        <v>231</v>
      </c>
      <c r="E85" s="129" t="s">
        <v>232</v>
      </c>
      <c r="F85" s="25">
        <v>8</v>
      </c>
      <c r="G85" s="22" t="str">
        <f t="shared" si="6"/>
        <v>Y</v>
      </c>
      <c r="H85" s="25">
        <v>8</v>
      </c>
      <c r="I85" s="22" t="str">
        <f t="shared" si="7"/>
        <v>Y</v>
      </c>
      <c r="J85" s="25">
        <v>5</v>
      </c>
      <c r="K85" s="22" t="str">
        <f t="shared" si="8"/>
        <v>N</v>
      </c>
      <c r="L85" s="25">
        <v>5</v>
      </c>
      <c r="M85" s="22" t="str">
        <f t="shared" si="9"/>
        <v>N</v>
      </c>
      <c r="N85" s="39">
        <v>8</v>
      </c>
      <c r="O85" s="35"/>
      <c r="P85" s="25"/>
      <c r="Q85" s="35"/>
      <c r="R85" s="23"/>
      <c r="S85" s="22" t="str">
        <f t="shared" si="10"/>
        <v>Y</v>
      </c>
      <c r="T85" s="39">
        <v>8</v>
      </c>
      <c r="U85" s="22" t="str">
        <f t="shared" si="11"/>
        <v>Y</v>
      </c>
      <c r="V85"/>
      <c r="W85"/>
    </row>
    <row r="86" spans="2:23" s="24" customFormat="1" ht="18" customHeight="1" thickBot="1">
      <c r="B86" s="15"/>
      <c r="C86" s="15">
        <v>74</v>
      </c>
      <c r="D86" s="128" t="s">
        <v>233</v>
      </c>
      <c r="E86" s="129" t="s">
        <v>234</v>
      </c>
      <c r="F86" s="25">
        <v>5</v>
      </c>
      <c r="G86" s="22" t="str">
        <f t="shared" si="6"/>
        <v>N</v>
      </c>
      <c r="H86" s="25">
        <v>0</v>
      </c>
      <c r="I86" s="22" t="str">
        <f t="shared" si="7"/>
        <v>N</v>
      </c>
      <c r="J86" s="25">
        <v>6</v>
      </c>
      <c r="K86" s="22" t="str">
        <f t="shared" si="8"/>
        <v>Y</v>
      </c>
      <c r="L86" s="25">
        <v>4</v>
      </c>
      <c r="M86" s="22" t="str">
        <f t="shared" si="9"/>
        <v>N</v>
      </c>
      <c r="N86" s="39">
        <v>8</v>
      </c>
      <c r="O86" s="35"/>
      <c r="P86" s="36"/>
      <c r="Q86" s="35"/>
      <c r="R86" s="23"/>
      <c r="S86" s="22" t="str">
        <f t="shared" si="10"/>
        <v>Y</v>
      </c>
      <c r="T86" s="39">
        <v>8</v>
      </c>
      <c r="U86" s="22" t="str">
        <f t="shared" si="11"/>
        <v>Y</v>
      </c>
      <c r="V86"/>
      <c r="W86"/>
    </row>
    <row r="87" spans="2:23" s="24" customFormat="1" ht="18" customHeight="1" thickBot="1">
      <c r="B87" s="15"/>
      <c r="C87" s="15">
        <v>75</v>
      </c>
      <c r="D87" s="128" t="s">
        <v>235</v>
      </c>
      <c r="E87" s="129" t="s">
        <v>236</v>
      </c>
      <c r="F87" s="25">
        <v>10</v>
      </c>
      <c r="G87" s="22" t="str">
        <f t="shared" si="6"/>
        <v>Y</v>
      </c>
      <c r="H87" s="25">
        <v>10</v>
      </c>
      <c r="I87" s="22" t="str">
        <f t="shared" si="7"/>
        <v>Y</v>
      </c>
      <c r="J87" s="25">
        <v>6</v>
      </c>
      <c r="K87" s="22" t="str">
        <f t="shared" si="8"/>
        <v>Y</v>
      </c>
      <c r="L87" s="25">
        <v>4</v>
      </c>
      <c r="M87" s="22" t="str">
        <f t="shared" si="9"/>
        <v>N</v>
      </c>
      <c r="N87" s="39">
        <v>9</v>
      </c>
      <c r="O87" s="35"/>
      <c r="P87" s="36"/>
      <c r="Q87" s="35"/>
      <c r="R87" s="23"/>
      <c r="S87" s="22" t="str">
        <f t="shared" si="10"/>
        <v>Y</v>
      </c>
      <c r="T87" s="39">
        <v>9</v>
      </c>
      <c r="U87" s="22" t="str">
        <f t="shared" si="11"/>
        <v>Y</v>
      </c>
    </row>
    <row r="88" spans="2:23" s="24" customFormat="1" ht="18" customHeight="1" thickBot="1">
      <c r="B88" s="15"/>
      <c r="C88" s="15">
        <v>76</v>
      </c>
      <c r="D88" s="128" t="s">
        <v>237</v>
      </c>
      <c r="E88" s="129" t="s">
        <v>238</v>
      </c>
      <c r="F88" s="25">
        <v>9</v>
      </c>
      <c r="G88" s="22" t="str">
        <f t="shared" si="6"/>
        <v>Y</v>
      </c>
      <c r="H88" s="25">
        <v>10</v>
      </c>
      <c r="I88" s="22" t="str">
        <f t="shared" si="7"/>
        <v>Y</v>
      </c>
      <c r="J88" s="25">
        <v>7</v>
      </c>
      <c r="K88" s="22" t="str">
        <f t="shared" si="8"/>
        <v>Y</v>
      </c>
      <c r="L88" s="25">
        <v>8</v>
      </c>
      <c r="M88" s="22" t="str">
        <f t="shared" si="9"/>
        <v>Y</v>
      </c>
      <c r="N88" s="39">
        <v>10</v>
      </c>
      <c r="O88" s="35"/>
      <c r="P88" s="36"/>
      <c r="Q88" s="35"/>
      <c r="R88" s="23"/>
      <c r="S88" s="22" t="str">
        <f t="shared" si="10"/>
        <v>Y</v>
      </c>
      <c r="T88" s="39">
        <v>10</v>
      </c>
      <c r="U88" s="22" t="str">
        <f t="shared" si="11"/>
        <v>Y</v>
      </c>
    </row>
    <row r="89" spans="2:23" s="24" customFormat="1" ht="18" customHeight="1" thickBot="1">
      <c r="B89" s="15"/>
      <c r="C89" s="15">
        <v>77</v>
      </c>
      <c r="D89" s="128" t="s">
        <v>239</v>
      </c>
      <c r="E89" s="129" t="s">
        <v>240</v>
      </c>
      <c r="F89" s="25">
        <v>8</v>
      </c>
      <c r="G89" s="22" t="str">
        <f t="shared" si="6"/>
        <v>Y</v>
      </c>
      <c r="H89" s="25">
        <v>1</v>
      </c>
      <c r="I89" s="22" t="str">
        <f t="shared" si="7"/>
        <v>N</v>
      </c>
      <c r="J89" s="25">
        <v>9</v>
      </c>
      <c r="K89" s="22" t="str">
        <f t="shared" si="8"/>
        <v>Y</v>
      </c>
      <c r="L89" s="25">
        <v>0</v>
      </c>
      <c r="M89" s="22" t="str">
        <f t="shared" si="9"/>
        <v>N</v>
      </c>
      <c r="N89" s="39">
        <v>7</v>
      </c>
      <c r="O89" s="35"/>
      <c r="P89" s="36"/>
      <c r="Q89" s="35"/>
      <c r="R89" s="23"/>
      <c r="S89" s="22" t="str">
        <f t="shared" si="10"/>
        <v>Y</v>
      </c>
      <c r="T89" s="39">
        <v>7</v>
      </c>
      <c r="U89" s="22" t="str">
        <f t="shared" si="11"/>
        <v>Y</v>
      </c>
    </row>
    <row r="90" spans="2:23" s="24" customFormat="1" ht="18" customHeight="1" thickBot="1">
      <c r="B90" s="15"/>
      <c r="C90" s="15">
        <v>78</v>
      </c>
      <c r="D90" s="128" t="s">
        <v>241</v>
      </c>
      <c r="E90" s="129" t="s">
        <v>242</v>
      </c>
      <c r="F90" s="25">
        <v>7</v>
      </c>
      <c r="G90" s="22" t="str">
        <f t="shared" si="6"/>
        <v>Y</v>
      </c>
      <c r="H90" s="25">
        <v>2</v>
      </c>
      <c r="I90" s="22" t="str">
        <f t="shared" si="7"/>
        <v>N</v>
      </c>
      <c r="J90" s="25">
        <v>7</v>
      </c>
      <c r="K90" s="22" t="str">
        <f t="shared" si="8"/>
        <v>Y</v>
      </c>
      <c r="L90" s="25">
        <v>8</v>
      </c>
      <c r="M90" s="22" t="str">
        <f t="shared" si="9"/>
        <v>Y</v>
      </c>
      <c r="N90" s="39">
        <v>9</v>
      </c>
      <c r="O90" s="35"/>
      <c r="P90" s="36"/>
      <c r="Q90" s="35"/>
      <c r="R90" s="23"/>
      <c r="S90" s="22" t="str">
        <f t="shared" si="10"/>
        <v>Y</v>
      </c>
      <c r="T90" s="39">
        <v>9</v>
      </c>
      <c r="U90" s="22" t="str">
        <f t="shared" si="11"/>
        <v>Y</v>
      </c>
    </row>
    <row r="91" spans="2:23" s="24" customFormat="1" ht="18" customHeight="1" thickBot="1">
      <c r="B91" s="15"/>
      <c r="C91" s="15">
        <v>79</v>
      </c>
      <c r="D91" s="128" t="s">
        <v>243</v>
      </c>
      <c r="E91" s="129" t="s">
        <v>244</v>
      </c>
      <c r="F91" s="77">
        <v>10</v>
      </c>
      <c r="G91" s="22" t="str">
        <f t="shared" si="6"/>
        <v>Y</v>
      </c>
      <c r="H91" s="77">
        <v>5</v>
      </c>
      <c r="I91" s="22" t="str">
        <f t="shared" si="7"/>
        <v>N</v>
      </c>
      <c r="J91" s="108" t="s">
        <v>251</v>
      </c>
      <c r="K91" s="22" t="str">
        <f t="shared" si="8"/>
        <v>Y</v>
      </c>
      <c r="L91" s="108" t="s">
        <v>251</v>
      </c>
      <c r="M91" s="22" t="str">
        <f t="shared" si="9"/>
        <v>Y</v>
      </c>
      <c r="N91" s="77">
        <v>9</v>
      </c>
      <c r="O91" s="35"/>
      <c r="P91" s="36"/>
      <c r="Q91" s="35"/>
      <c r="R91" s="23"/>
      <c r="S91" s="22" t="str">
        <f t="shared" si="10"/>
        <v>Y</v>
      </c>
      <c r="T91" s="77">
        <v>9</v>
      </c>
      <c r="U91" s="22" t="str">
        <f t="shared" si="11"/>
        <v>Y</v>
      </c>
    </row>
    <row r="92" spans="2:23" s="24" customFormat="1" ht="18" customHeight="1" thickBot="1">
      <c r="B92" s="15"/>
      <c r="C92" s="15">
        <v>80</v>
      </c>
      <c r="D92" s="128" t="s">
        <v>245</v>
      </c>
      <c r="E92" s="129" t="s">
        <v>246</v>
      </c>
      <c r="F92" s="77">
        <v>8</v>
      </c>
      <c r="G92" s="22" t="str">
        <f t="shared" si="6"/>
        <v>Y</v>
      </c>
      <c r="H92" s="77">
        <v>1</v>
      </c>
      <c r="I92" s="22" t="str">
        <f t="shared" si="7"/>
        <v>N</v>
      </c>
      <c r="J92" s="108" t="s">
        <v>251</v>
      </c>
      <c r="K92" s="22" t="str">
        <f t="shared" si="8"/>
        <v>Y</v>
      </c>
      <c r="L92" s="108" t="s">
        <v>251</v>
      </c>
      <c r="M92" s="22" t="str">
        <f t="shared" si="9"/>
        <v>Y</v>
      </c>
      <c r="N92" s="77">
        <v>7</v>
      </c>
      <c r="O92" s="35"/>
      <c r="P92" s="36"/>
      <c r="Q92" s="35"/>
      <c r="R92" s="23"/>
      <c r="S92" s="22" t="str">
        <f t="shared" si="10"/>
        <v>Y</v>
      </c>
      <c r="T92" s="77">
        <v>7</v>
      </c>
      <c r="U92" s="22" t="str">
        <f t="shared" si="11"/>
        <v>Y</v>
      </c>
    </row>
    <row r="93" spans="2:23" s="24" customFormat="1" ht="18" customHeight="1" thickBot="1">
      <c r="B93" s="15"/>
      <c r="C93" s="15">
        <v>81</v>
      </c>
      <c r="D93" s="128" t="s">
        <v>247</v>
      </c>
      <c r="E93" s="129" t="s">
        <v>248</v>
      </c>
      <c r="F93" s="25">
        <v>5</v>
      </c>
      <c r="G93" s="22" t="str">
        <f t="shared" si="6"/>
        <v>N</v>
      </c>
      <c r="H93" s="25">
        <v>10</v>
      </c>
      <c r="I93" s="22" t="str">
        <f t="shared" si="7"/>
        <v>Y</v>
      </c>
      <c r="J93" s="25">
        <v>5</v>
      </c>
      <c r="K93" s="22" t="str">
        <f t="shared" si="8"/>
        <v>N</v>
      </c>
      <c r="L93" s="25">
        <v>0</v>
      </c>
      <c r="M93" s="22" t="str">
        <f t="shared" si="9"/>
        <v>N</v>
      </c>
      <c r="N93" s="39">
        <v>9</v>
      </c>
      <c r="O93" s="35"/>
      <c r="P93" s="36"/>
      <c r="Q93" s="35"/>
      <c r="R93" s="23"/>
      <c r="S93" s="22" t="str">
        <f t="shared" si="10"/>
        <v>Y</v>
      </c>
      <c r="T93" s="39">
        <v>9</v>
      </c>
      <c r="U93" s="22" t="str">
        <f t="shared" si="11"/>
        <v>Y</v>
      </c>
    </row>
    <row r="94" spans="2:23" ht="15.75">
      <c r="D94" s="186" t="s">
        <v>25</v>
      </c>
      <c r="E94" s="187"/>
      <c r="F94" s="25">
        <f>COUNT(F13:F93)</f>
        <v>75</v>
      </c>
      <c r="G94" s="22"/>
      <c r="H94" s="81">
        <f>COUNT(H13:H93)</f>
        <v>75</v>
      </c>
      <c r="I94" s="42"/>
      <c r="J94" s="40">
        <f>COUNT(J13:J93)</f>
        <v>71</v>
      </c>
      <c r="K94" s="42"/>
      <c r="L94" s="40">
        <f>COUNT(L13:L93)</f>
        <v>71</v>
      </c>
      <c r="M94" s="42"/>
      <c r="N94" s="109">
        <f>COUNT(N13:N93)</f>
        <v>78</v>
      </c>
      <c r="O94" s="43"/>
      <c r="P94" s="40">
        <f>COUNT(P13:P85)</f>
        <v>0</v>
      </c>
      <c r="Q94" s="43"/>
      <c r="T94" s="109">
        <f>COUNT(T13:T93)</f>
        <v>78</v>
      </c>
    </row>
    <row r="95" spans="2:23" ht="15.75">
      <c r="D95" s="188" t="s">
        <v>26</v>
      </c>
      <c r="E95" s="189"/>
      <c r="F95" s="25"/>
      <c r="G95" s="9">
        <f>COUNTIF(G13:G93,"Y")</f>
        <v>66</v>
      </c>
      <c r="H95" s="39"/>
      <c r="I95" s="9">
        <f>COUNTIF(I13:I93,"Y")</f>
        <v>52</v>
      </c>
      <c r="J95" s="39"/>
      <c r="K95" s="9">
        <f>COUNTIF(K13:K93,"Y")</f>
        <v>69</v>
      </c>
      <c r="L95" s="39"/>
      <c r="M95" s="9">
        <f>COUNTIF(M13:M93,"Y")</f>
        <v>32</v>
      </c>
      <c r="N95" s="41"/>
      <c r="O95" s="9">
        <f>COUNTIF(O13:O85,"Y")</f>
        <v>1</v>
      </c>
      <c r="P95" s="39"/>
      <c r="Q95" s="9">
        <f>COUNTIF(Q13:Q85,"Y")</f>
        <v>0</v>
      </c>
      <c r="R95" s="41"/>
      <c r="S95" s="110">
        <v>78</v>
      </c>
      <c r="T95" s="39"/>
      <c r="U95" s="110">
        <v>78</v>
      </c>
    </row>
    <row r="96" spans="2:23" ht="15.75">
      <c r="D96" s="188" t="s">
        <v>27</v>
      </c>
      <c r="E96" s="189"/>
      <c r="F96" s="26"/>
      <c r="G96" s="9">
        <f>COUNTIF(G13:G93,"N")</f>
        <v>15</v>
      </c>
      <c r="H96" s="26"/>
      <c r="I96" s="9">
        <f>COUNTIF(I13:I93,"N")</f>
        <v>29</v>
      </c>
      <c r="J96" s="26"/>
      <c r="K96" s="9">
        <f>COUNTIF(K13:K93,"N")</f>
        <v>12</v>
      </c>
      <c r="L96" s="26"/>
      <c r="M96" s="9">
        <f>COUNTIF(M13:M93,"N")</f>
        <v>49</v>
      </c>
      <c r="N96" s="41"/>
      <c r="O96" s="9">
        <f>COUNTIF(O13:O85,"N")</f>
        <v>0</v>
      </c>
      <c r="P96" s="26"/>
      <c r="Q96" s="9">
        <f>COUNTIF(Q13:Q85,"N")</f>
        <v>0</v>
      </c>
      <c r="R96" s="41"/>
      <c r="S96" s="110">
        <v>0</v>
      </c>
      <c r="T96" s="26"/>
      <c r="U96" s="110">
        <v>0</v>
      </c>
    </row>
    <row r="97" spans="4:21" ht="15.75">
      <c r="D97" s="188" t="s">
        <v>28</v>
      </c>
      <c r="E97" s="189"/>
      <c r="F97" s="18"/>
      <c r="G97" s="9">
        <f>COUNTIF(G13:G93,"NA")</f>
        <v>0</v>
      </c>
      <c r="H97" s="18"/>
      <c r="I97" s="9">
        <f>COUNTIF(I13:I93,"NA")</f>
        <v>0</v>
      </c>
      <c r="J97" s="18"/>
      <c r="K97" s="9">
        <f>COUNTIF(K13:K93,"NA")</f>
        <v>0</v>
      </c>
      <c r="L97" s="18"/>
      <c r="M97" s="9">
        <f>COUNTIF(M13:M93,"NA")</f>
        <v>0</v>
      </c>
      <c r="N97" s="41"/>
      <c r="O97" s="9">
        <f>COUNTIF(O13:O85,"NA")</f>
        <v>0</v>
      </c>
      <c r="P97" s="18"/>
      <c r="Q97" s="9">
        <f>COUNTIF(Q13:Q85,"NA")</f>
        <v>1</v>
      </c>
      <c r="R97" s="41"/>
      <c r="S97" s="162">
        <v>3</v>
      </c>
      <c r="T97" s="18"/>
      <c r="U97" s="9">
        <v>3</v>
      </c>
    </row>
    <row r="98" spans="4:21" ht="15.75">
      <c r="D98" s="190" t="s">
        <v>29</v>
      </c>
      <c r="E98" s="191"/>
      <c r="F98" s="27"/>
      <c r="G98" s="17">
        <f>G95/F94</f>
        <v>0.88</v>
      </c>
      <c r="H98" s="27"/>
      <c r="I98" s="17">
        <f>I95/H94</f>
        <v>0.69333333333333336</v>
      </c>
      <c r="J98" s="27"/>
      <c r="K98" s="17">
        <f>K95/J94</f>
        <v>0.971830985915493</v>
      </c>
      <c r="L98" s="27"/>
      <c r="M98" s="17">
        <f>M95/L94</f>
        <v>0.45070422535211269</v>
      </c>
      <c r="N98" s="41"/>
      <c r="O98" s="17">
        <f>O95/N94</f>
        <v>1.282051282051282E-2</v>
      </c>
      <c r="P98" s="27"/>
      <c r="Q98" s="17" t="e">
        <f>Q95/P94</f>
        <v>#DIV/0!</v>
      </c>
      <c r="R98" s="41"/>
      <c r="S98" s="17">
        <v>1</v>
      </c>
      <c r="T98" s="27"/>
      <c r="U98" s="17">
        <f>U95/T94</f>
        <v>1</v>
      </c>
    </row>
    <row r="99" spans="4:21">
      <c r="J99" s="28"/>
    </row>
    <row r="100" spans="4:21" ht="15.75">
      <c r="D100" s="184" t="s">
        <v>30</v>
      </c>
      <c r="E100" s="184"/>
      <c r="F100" s="76">
        <f>AVERAGE(G98,I98,K98,M98,S98,U98)</f>
        <v>0.83264475743348976</v>
      </c>
      <c r="G100" s="28"/>
      <c r="H100" s="28"/>
    </row>
    <row r="101" spans="4:21" ht="15.75">
      <c r="D101" s="183" t="s">
        <v>33</v>
      </c>
      <c r="E101" s="183"/>
      <c r="F101" s="32">
        <v>3</v>
      </c>
      <c r="G101" s="33"/>
      <c r="H101" s="33"/>
    </row>
    <row r="102" spans="4:21">
      <c r="D102" s="44"/>
      <c r="E102" s="44"/>
      <c r="F102" s="44"/>
      <c r="G102" s="44"/>
    </row>
    <row r="103" spans="4:21">
      <c r="D103" s="44"/>
      <c r="E103" s="44"/>
      <c r="F103" s="44"/>
      <c r="G103" s="44"/>
    </row>
    <row r="104" spans="4:21">
      <c r="D104" s="44"/>
      <c r="E104" s="44"/>
      <c r="F104" s="44"/>
      <c r="G104" s="44"/>
    </row>
    <row r="105" spans="4:21">
      <c r="D105" s="44"/>
      <c r="E105" s="44"/>
      <c r="F105" s="44"/>
      <c r="G105" s="44"/>
    </row>
    <row r="106" spans="4:21">
      <c r="D106" s="44"/>
      <c r="E106" s="44"/>
      <c r="F106" s="44"/>
      <c r="G106" s="44"/>
    </row>
    <row r="107" spans="4:21">
      <c r="D107" s="44"/>
      <c r="E107" s="44"/>
      <c r="F107" s="44"/>
      <c r="G107" s="44"/>
    </row>
    <row r="108" spans="4:21">
      <c r="D108" s="44"/>
      <c r="E108" s="44"/>
      <c r="F108" s="44"/>
      <c r="G108" s="44"/>
    </row>
    <row r="109" spans="4:21">
      <c r="D109" s="44"/>
      <c r="E109" s="44"/>
      <c r="F109" s="44"/>
      <c r="G109" s="44"/>
    </row>
    <row r="110" spans="4:21">
      <c r="D110" s="44"/>
      <c r="E110" s="44"/>
      <c r="F110" s="44"/>
      <c r="G110" s="44"/>
    </row>
    <row r="111" spans="4:21">
      <c r="D111" s="44"/>
      <c r="E111" s="44"/>
      <c r="F111" s="44"/>
      <c r="G111" s="44"/>
    </row>
    <row r="112" spans="4:21">
      <c r="D112" s="44"/>
      <c r="E112" s="44"/>
      <c r="F112" s="44"/>
      <c r="G112" s="44"/>
    </row>
    <row r="113" spans="4:7">
      <c r="D113" s="44"/>
      <c r="E113" s="44"/>
      <c r="F113" s="44"/>
      <c r="G113" s="44"/>
    </row>
    <row r="114" spans="4:7">
      <c r="D114" s="44"/>
      <c r="E114" s="44"/>
      <c r="F114" s="44"/>
      <c r="G114" s="44"/>
    </row>
    <row r="115" spans="4:7">
      <c r="D115" s="44"/>
      <c r="E115" s="44"/>
      <c r="F115" s="44"/>
      <c r="G115" s="44"/>
    </row>
    <row r="116" spans="4:7">
      <c r="D116" s="44"/>
      <c r="E116" s="44"/>
      <c r="F116" s="44"/>
      <c r="G116" s="44"/>
    </row>
    <row r="117" spans="4:7">
      <c r="D117" s="44"/>
      <c r="E117" s="44"/>
      <c r="F117" s="44"/>
      <c r="G117" s="44"/>
    </row>
    <row r="118" spans="4:7">
      <c r="D118" s="44"/>
      <c r="E118" s="44"/>
      <c r="F118" s="44"/>
      <c r="G118" s="44"/>
    </row>
    <row r="119" spans="4:7">
      <c r="D119" s="44"/>
      <c r="E119" s="44"/>
      <c r="F119" s="44"/>
      <c r="G119" s="44"/>
    </row>
    <row r="120" spans="4:7">
      <c r="D120" s="44"/>
      <c r="E120" s="44"/>
      <c r="F120" s="44"/>
      <c r="G120" s="44"/>
    </row>
    <row r="121" spans="4:7">
      <c r="D121" s="44"/>
      <c r="E121" s="44"/>
      <c r="F121" s="44"/>
      <c r="G121" s="44"/>
    </row>
    <row r="122" spans="4:7">
      <c r="D122" s="44"/>
      <c r="E122" s="44"/>
      <c r="F122" s="44"/>
      <c r="G122" s="44"/>
    </row>
    <row r="123" spans="4:7">
      <c r="D123" s="44"/>
      <c r="E123" s="44"/>
      <c r="F123" s="44"/>
      <c r="G123" s="44"/>
    </row>
    <row r="124" spans="4:7">
      <c r="D124" s="44"/>
      <c r="E124" s="44"/>
      <c r="F124" s="44"/>
      <c r="G124" s="44"/>
    </row>
    <row r="125" spans="4:7">
      <c r="D125" s="44"/>
      <c r="E125" s="44"/>
      <c r="F125" s="44"/>
      <c r="G125" s="44"/>
    </row>
    <row r="126" spans="4:7">
      <c r="D126" s="44"/>
      <c r="E126" s="44"/>
      <c r="F126" s="44"/>
      <c r="G126" s="44"/>
    </row>
    <row r="127" spans="4:7">
      <c r="D127" s="44"/>
      <c r="E127" s="44"/>
      <c r="F127" s="44"/>
      <c r="G127" s="44"/>
    </row>
    <row r="128" spans="4:7">
      <c r="D128" s="44"/>
      <c r="E128" s="44"/>
      <c r="F128" s="44"/>
      <c r="G128" s="44"/>
    </row>
    <row r="129" spans="4:7">
      <c r="D129" s="44"/>
      <c r="E129" s="44"/>
      <c r="F129" s="44"/>
      <c r="G129" s="44"/>
    </row>
    <row r="130" spans="4:7">
      <c r="D130" s="44"/>
      <c r="E130" s="44"/>
      <c r="F130" s="44"/>
      <c r="G130" s="44"/>
    </row>
    <row r="131" spans="4:7">
      <c r="D131" s="44"/>
      <c r="E131" s="44"/>
      <c r="F131" s="44"/>
      <c r="G131" s="44"/>
    </row>
    <row r="132" spans="4:7">
      <c r="D132" s="44"/>
      <c r="E132" s="44"/>
      <c r="F132" s="44"/>
      <c r="G132" s="44"/>
    </row>
    <row r="133" spans="4:7">
      <c r="D133" s="44"/>
      <c r="E133" s="44"/>
      <c r="F133" s="44"/>
      <c r="G133" s="44"/>
    </row>
    <row r="134" spans="4:7">
      <c r="D134" s="44"/>
      <c r="E134" s="44"/>
      <c r="F134" s="44"/>
      <c r="G134" s="44"/>
    </row>
    <row r="135" spans="4:7">
      <c r="D135" s="44"/>
      <c r="E135" s="44"/>
      <c r="F135" s="44"/>
      <c r="G135" s="44"/>
    </row>
    <row r="136" spans="4:7">
      <c r="D136" s="44"/>
      <c r="E136" s="44"/>
      <c r="F136" s="44"/>
      <c r="G136" s="44"/>
    </row>
    <row r="137" spans="4:7">
      <c r="D137" s="44"/>
      <c r="E137" s="44"/>
      <c r="F137" s="44"/>
      <c r="G137" s="44"/>
    </row>
    <row r="138" spans="4:7">
      <c r="D138" s="44"/>
      <c r="E138" s="44"/>
      <c r="F138" s="44"/>
      <c r="G138" s="44"/>
    </row>
    <row r="139" spans="4:7">
      <c r="D139" s="44"/>
      <c r="E139" s="44"/>
      <c r="F139" s="44"/>
      <c r="G139" s="44"/>
    </row>
    <row r="140" spans="4:7">
      <c r="D140" s="44"/>
      <c r="E140" s="44"/>
      <c r="F140" s="44"/>
      <c r="G140" s="44"/>
    </row>
    <row r="141" spans="4:7">
      <c r="D141" s="44"/>
      <c r="E141" s="44"/>
      <c r="F141" s="44"/>
      <c r="G141" s="44"/>
    </row>
    <row r="142" spans="4:7">
      <c r="D142" s="44"/>
      <c r="E142" s="44"/>
      <c r="F142" s="44"/>
      <c r="G142" s="44"/>
    </row>
    <row r="143" spans="4:7">
      <c r="D143" s="44"/>
      <c r="E143" s="44"/>
      <c r="F143" s="44"/>
      <c r="G143" s="44"/>
    </row>
    <row r="144" spans="4:7">
      <c r="D144" s="44"/>
      <c r="E144" s="44"/>
      <c r="F144" s="44"/>
      <c r="G144" s="44"/>
    </row>
    <row r="145" spans="4:7">
      <c r="D145" s="44"/>
      <c r="E145" s="44"/>
      <c r="F145" s="44"/>
      <c r="G145" s="44"/>
    </row>
    <row r="146" spans="4:7">
      <c r="D146" s="44"/>
      <c r="E146" s="44"/>
      <c r="F146" s="44"/>
      <c r="G146" s="44"/>
    </row>
    <row r="147" spans="4:7">
      <c r="D147" s="44"/>
      <c r="E147" s="44"/>
      <c r="F147" s="44"/>
      <c r="G147" s="44"/>
    </row>
    <row r="148" spans="4:7">
      <c r="D148" s="44"/>
      <c r="E148" s="44"/>
      <c r="F148" s="44"/>
      <c r="G148" s="44"/>
    </row>
    <row r="149" spans="4:7">
      <c r="D149" s="44"/>
      <c r="E149" s="44"/>
      <c r="F149" s="44"/>
      <c r="G149" s="44"/>
    </row>
    <row r="150" spans="4:7">
      <c r="D150" s="44"/>
      <c r="E150" s="44"/>
      <c r="F150" s="44"/>
      <c r="G150" s="44"/>
    </row>
    <row r="151" spans="4:7">
      <c r="D151" s="44"/>
      <c r="E151" s="44"/>
      <c r="F151" s="44"/>
      <c r="G151" s="44"/>
    </row>
    <row r="152" spans="4:7">
      <c r="D152" s="44"/>
      <c r="E152" s="44"/>
      <c r="F152" s="44"/>
      <c r="G152" s="44"/>
    </row>
    <row r="153" spans="4:7">
      <c r="D153" s="44"/>
      <c r="E153" s="44"/>
      <c r="F153" s="44"/>
      <c r="G153" s="44"/>
    </row>
    <row r="154" spans="4:7">
      <c r="D154" s="44"/>
      <c r="E154" s="44"/>
      <c r="F154" s="44"/>
      <c r="G154" s="44"/>
    </row>
    <row r="155" spans="4:7">
      <c r="D155" s="44"/>
      <c r="E155" s="44"/>
      <c r="F155" s="44"/>
      <c r="G155" s="44"/>
    </row>
    <row r="156" spans="4:7">
      <c r="D156" s="44"/>
      <c r="E156" s="44"/>
      <c r="F156" s="44"/>
      <c r="G156" s="44"/>
    </row>
    <row r="157" spans="4:7">
      <c r="D157" s="44"/>
      <c r="E157" s="44"/>
      <c r="F157" s="44"/>
      <c r="G157" s="44"/>
    </row>
    <row r="158" spans="4:7">
      <c r="D158" s="44"/>
      <c r="E158" s="44"/>
      <c r="F158" s="44"/>
      <c r="G158" s="44"/>
    </row>
    <row r="159" spans="4:7">
      <c r="D159" s="44"/>
      <c r="E159" s="44"/>
      <c r="F159" s="44"/>
      <c r="G159" s="44"/>
    </row>
    <row r="160" spans="4:7">
      <c r="D160" s="44"/>
      <c r="E160" s="44"/>
      <c r="F160" s="44"/>
      <c r="G160" s="44"/>
    </row>
    <row r="161" spans="4:7">
      <c r="D161" s="44"/>
      <c r="E161" s="44"/>
      <c r="F161" s="44"/>
      <c r="G161" s="44"/>
    </row>
    <row r="162" spans="4:7">
      <c r="D162" s="44"/>
      <c r="E162" s="44"/>
      <c r="F162" s="44"/>
      <c r="G162" s="44"/>
    </row>
    <row r="163" spans="4:7">
      <c r="D163" s="44"/>
      <c r="E163" s="44"/>
      <c r="F163" s="44"/>
      <c r="G163" s="44"/>
    </row>
    <row r="164" spans="4:7">
      <c r="D164" s="44"/>
      <c r="E164" s="44"/>
      <c r="F164" s="44"/>
      <c r="G164" s="44"/>
    </row>
    <row r="165" spans="4:7">
      <c r="D165" s="44"/>
      <c r="E165" s="44"/>
      <c r="F165" s="44"/>
      <c r="G165" s="44"/>
    </row>
    <row r="166" spans="4:7">
      <c r="D166" s="44"/>
      <c r="E166" s="44"/>
      <c r="F166" s="44"/>
      <c r="G166" s="44"/>
    </row>
    <row r="167" spans="4:7">
      <c r="D167" s="44"/>
      <c r="E167" s="44"/>
      <c r="F167" s="44"/>
      <c r="G167" s="44"/>
    </row>
    <row r="168" spans="4:7">
      <c r="D168" s="44"/>
      <c r="E168" s="44"/>
      <c r="F168" s="44"/>
      <c r="G168" s="44"/>
    </row>
    <row r="169" spans="4:7">
      <c r="D169" s="44"/>
      <c r="E169" s="44"/>
      <c r="F169" s="44"/>
      <c r="G169" s="44"/>
    </row>
    <row r="170" spans="4:7">
      <c r="D170" s="44"/>
      <c r="E170" s="44"/>
      <c r="F170" s="44"/>
      <c r="G170" s="44"/>
    </row>
    <row r="171" spans="4:7">
      <c r="D171" s="44"/>
      <c r="E171" s="44"/>
      <c r="F171" s="44"/>
      <c r="G171" s="44"/>
    </row>
    <row r="172" spans="4:7">
      <c r="D172" s="44"/>
      <c r="E172" s="44"/>
      <c r="F172" s="44"/>
      <c r="G172" s="44"/>
    </row>
    <row r="173" spans="4:7">
      <c r="D173" s="44"/>
      <c r="E173" s="44"/>
      <c r="F173" s="44"/>
      <c r="G173" s="44"/>
    </row>
    <row r="174" spans="4:7">
      <c r="D174" s="44"/>
      <c r="E174" s="44"/>
      <c r="F174" s="44"/>
      <c r="G174" s="44"/>
    </row>
    <row r="175" spans="4:7">
      <c r="D175" s="44"/>
      <c r="E175" s="44"/>
      <c r="F175" s="44"/>
      <c r="G175" s="44"/>
    </row>
    <row r="176" spans="4:7">
      <c r="D176" s="44"/>
      <c r="E176" s="44"/>
      <c r="F176" s="44"/>
      <c r="G176" s="44"/>
    </row>
    <row r="177" spans="4:7">
      <c r="D177" s="44"/>
      <c r="E177" s="44"/>
      <c r="F177" s="44"/>
      <c r="G177" s="44"/>
    </row>
    <row r="178" spans="4:7">
      <c r="D178" s="44"/>
      <c r="E178" s="44"/>
      <c r="F178" s="44"/>
      <c r="G178" s="44"/>
    </row>
    <row r="179" spans="4:7">
      <c r="D179" s="44"/>
      <c r="E179" s="44"/>
      <c r="F179" s="44"/>
      <c r="G179" s="44"/>
    </row>
    <row r="180" spans="4:7">
      <c r="D180" s="44"/>
      <c r="E180" s="44"/>
      <c r="F180" s="44"/>
      <c r="G180" s="44"/>
    </row>
    <row r="181" spans="4:7">
      <c r="D181" s="44"/>
      <c r="E181" s="44"/>
      <c r="F181" s="44"/>
      <c r="G181" s="44"/>
    </row>
    <row r="182" spans="4:7">
      <c r="D182" s="44"/>
      <c r="E182" s="44"/>
      <c r="F182" s="44"/>
      <c r="G182" s="44"/>
    </row>
    <row r="183" spans="4:7">
      <c r="D183" s="44"/>
      <c r="E183" s="44"/>
      <c r="F183" s="44"/>
      <c r="G183" s="44"/>
    </row>
    <row r="184" spans="4:7">
      <c r="D184" s="44"/>
      <c r="E184" s="44"/>
      <c r="F184" s="44"/>
      <c r="G184" s="44"/>
    </row>
    <row r="185" spans="4:7">
      <c r="D185" s="44"/>
      <c r="E185" s="44"/>
      <c r="F185" s="44"/>
      <c r="G185" s="44"/>
    </row>
    <row r="186" spans="4:7">
      <c r="D186" s="44"/>
      <c r="E186" s="44"/>
      <c r="F186" s="44"/>
      <c r="G186" s="44"/>
    </row>
    <row r="187" spans="4:7">
      <c r="D187" s="44"/>
      <c r="E187" s="44"/>
      <c r="F187" s="44"/>
      <c r="G187" s="44"/>
    </row>
    <row r="188" spans="4:7">
      <c r="D188" s="44"/>
      <c r="E188" s="44"/>
      <c r="F188" s="44"/>
      <c r="G188" s="44"/>
    </row>
    <row r="189" spans="4:7">
      <c r="D189" s="44"/>
      <c r="E189" s="44"/>
      <c r="F189" s="44"/>
      <c r="G189" s="44"/>
    </row>
    <row r="190" spans="4:7">
      <c r="D190" s="44"/>
      <c r="E190" s="44"/>
      <c r="F190" s="44"/>
      <c r="G190" s="44"/>
    </row>
    <row r="191" spans="4:7">
      <c r="D191" s="44"/>
      <c r="E191" s="44"/>
      <c r="F191" s="44"/>
      <c r="G191" s="44"/>
    </row>
    <row r="192" spans="4:7">
      <c r="D192" s="44"/>
      <c r="E192" s="44"/>
      <c r="F192" s="44"/>
      <c r="G192" s="44"/>
    </row>
    <row r="193" spans="4:7">
      <c r="D193" s="44"/>
      <c r="E193" s="44"/>
      <c r="F193" s="44"/>
      <c r="G193" s="44"/>
    </row>
    <row r="194" spans="4:7">
      <c r="D194" s="44"/>
      <c r="E194" s="44"/>
      <c r="F194" s="44"/>
      <c r="G194" s="44"/>
    </row>
    <row r="195" spans="4:7">
      <c r="D195" s="44"/>
      <c r="E195" s="44"/>
      <c r="F195" s="44"/>
      <c r="G195" s="44"/>
    </row>
    <row r="196" spans="4:7">
      <c r="D196" s="44"/>
      <c r="E196" s="44"/>
      <c r="F196" s="44"/>
      <c r="G196" s="44"/>
    </row>
    <row r="197" spans="4:7">
      <c r="D197" s="44"/>
      <c r="E197" s="44"/>
      <c r="F197" s="44"/>
      <c r="G197" s="44"/>
    </row>
    <row r="198" spans="4:7">
      <c r="D198" s="44"/>
      <c r="E198" s="44"/>
      <c r="F198" s="44"/>
      <c r="G198" s="44"/>
    </row>
    <row r="199" spans="4:7">
      <c r="D199" s="44"/>
      <c r="E199" s="44"/>
      <c r="F199" s="44"/>
      <c r="G199" s="44"/>
    </row>
    <row r="200" spans="4:7">
      <c r="D200" s="44"/>
      <c r="E200" s="44"/>
      <c r="F200" s="44"/>
      <c r="G200" s="44"/>
    </row>
    <row r="201" spans="4:7">
      <c r="D201" s="44"/>
      <c r="E201" s="44"/>
      <c r="F201" s="44"/>
      <c r="G201" s="44"/>
    </row>
    <row r="202" spans="4:7">
      <c r="D202" s="44"/>
      <c r="E202" s="44"/>
      <c r="F202" s="44"/>
      <c r="G202" s="44"/>
    </row>
    <row r="203" spans="4:7">
      <c r="D203" s="44"/>
      <c r="E203" s="44"/>
      <c r="F203" s="44"/>
      <c r="G203" s="44"/>
    </row>
    <row r="204" spans="4:7">
      <c r="D204" s="44"/>
      <c r="E204" s="44"/>
      <c r="F204" s="44"/>
      <c r="G204" s="44"/>
    </row>
    <row r="205" spans="4:7">
      <c r="D205" s="44"/>
      <c r="E205" s="44"/>
      <c r="F205" s="44"/>
      <c r="G205" s="44"/>
    </row>
    <row r="206" spans="4:7">
      <c r="D206" s="44"/>
      <c r="E206" s="44"/>
      <c r="F206" s="44"/>
      <c r="G206" s="44"/>
    </row>
    <row r="207" spans="4:7">
      <c r="D207" s="44"/>
      <c r="E207" s="44"/>
      <c r="F207" s="44"/>
      <c r="G207" s="44"/>
    </row>
    <row r="208" spans="4:7">
      <c r="D208" s="44"/>
      <c r="E208" s="44"/>
      <c r="F208" s="44"/>
      <c r="G208" s="44"/>
    </row>
    <row r="209" spans="4:7">
      <c r="D209" s="44"/>
      <c r="E209" s="44"/>
      <c r="F209" s="44"/>
      <c r="G209" s="44"/>
    </row>
    <row r="210" spans="4:7">
      <c r="D210" s="44"/>
      <c r="E210" s="44"/>
      <c r="F210" s="44"/>
      <c r="G210" s="44"/>
    </row>
    <row r="211" spans="4:7">
      <c r="D211" s="44"/>
      <c r="E211" s="44"/>
      <c r="F211" s="44"/>
      <c r="G211" s="44"/>
    </row>
    <row r="212" spans="4:7">
      <c r="D212" s="44"/>
      <c r="E212" s="44"/>
      <c r="F212" s="44"/>
      <c r="G212" s="44"/>
    </row>
    <row r="213" spans="4:7">
      <c r="D213" s="44"/>
      <c r="E213" s="44"/>
      <c r="F213" s="44"/>
      <c r="G213" s="44"/>
    </row>
    <row r="214" spans="4:7">
      <c r="D214" s="44"/>
      <c r="E214" s="44"/>
      <c r="F214" s="44"/>
      <c r="G214" s="44"/>
    </row>
    <row r="215" spans="4:7">
      <c r="D215" s="44"/>
      <c r="E215" s="44"/>
      <c r="F215" s="44"/>
      <c r="G215" s="44"/>
    </row>
    <row r="216" spans="4:7">
      <c r="D216" s="44"/>
      <c r="E216" s="44"/>
      <c r="F216" s="44"/>
      <c r="G216" s="44"/>
    </row>
    <row r="217" spans="4:7">
      <c r="D217" s="44"/>
      <c r="E217" s="44"/>
      <c r="F217" s="44"/>
      <c r="G217" s="44"/>
    </row>
    <row r="218" spans="4:7">
      <c r="D218" s="44"/>
      <c r="E218" s="44"/>
      <c r="F218" s="44"/>
      <c r="G218" s="44"/>
    </row>
    <row r="219" spans="4:7">
      <c r="D219" s="44"/>
      <c r="E219" s="44"/>
      <c r="F219" s="44"/>
      <c r="G219" s="44"/>
    </row>
    <row r="220" spans="4:7">
      <c r="D220" s="44"/>
      <c r="E220" s="44"/>
      <c r="F220" s="44"/>
      <c r="G220" s="44"/>
    </row>
    <row r="221" spans="4:7">
      <c r="D221" s="44"/>
      <c r="E221" s="44"/>
      <c r="F221" s="44"/>
      <c r="G221" s="44"/>
    </row>
    <row r="222" spans="4:7">
      <c r="D222" s="44"/>
      <c r="E222" s="44"/>
      <c r="F222" s="44"/>
      <c r="G222" s="44"/>
    </row>
    <row r="223" spans="4:7">
      <c r="D223" s="44"/>
      <c r="E223" s="44"/>
      <c r="F223" s="44"/>
      <c r="G223" s="44"/>
    </row>
    <row r="224" spans="4:7">
      <c r="D224" s="44"/>
      <c r="E224" s="44"/>
      <c r="F224" s="44"/>
      <c r="G224" s="44"/>
    </row>
    <row r="225" spans="4:7">
      <c r="D225" s="44"/>
      <c r="E225" s="44"/>
      <c r="F225" s="44"/>
      <c r="G225" s="44"/>
    </row>
    <row r="226" spans="4:7">
      <c r="D226" s="44"/>
      <c r="E226" s="44"/>
      <c r="F226" s="44"/>
      <c r="G226" s="44"/>
    </row>
    <row r="227" spans="4:7">
      <c r="D227" s="44"/>
      <c r="E227" s="44"/>
      <c r="F227" s="44"/>
      <c r="G227" s="44"/>
    </row>
    <row r="228" spans="4:7">
      <c r="D228" s="44"/>
      <c r="E228" s="44"/>
      <c r="F228" s="44"/>
      <c r="G228" s="44"/>
    </row>
    <row r="229" spans="4:7">
      <c r="D229" s="44"/>
      <c r="E229" s="44"/>
      <c r="F229" s="44"/>
      <c r="G229" s="44"/>
    </row>
    <row r="230" spans="4:7">
      <c r="D230" s="44"/>
      <c r="E230" s="44"/>
      <c r="F230" s="44"/>
      <c r="G230" s="44"/>
    </row>
    <row r="231" spans="4:7">
      <c r="D231" s="44"/>
      <c r="E231" s="44"/>
      <c r="F231" s="44"/>
      <c r="G231" s="44"/>
    </row>
    <row r="232" spans="4:7">
      <c r="D232" s="44"/>
      <c r="E232" s="44"/>
      <c r="F232" s="44"/>
      <c r="G232" s="44"/>
    </row>
    <row r="233" spans="4:7">
      <c r="D233" s="44"/>
      <c r="E233" s="44"/>
      <c r="F233" s="44"/>
      <c r="G233" s="44"/>
    </row>
    <row r="234" spans="4:7">
      <c r="D234" s="44"/>
      <c r="E234" s="44"/>
      <c r="F234" s="44"/>
      <c r="G234" s="44"/>
    </row>
    <row r="235" spans="4:7">
      <c r="D235" s="44"/>
      <c r="E235" s="44"/>
      <c r="F235" s="44"/>
      <c r="G235" s="44"/>
    </row>
    <row r="236" spans="4:7">
      <c r="D236" s="44"/>
      <c r="E236" s="44"/>
      <c r="F236" s="44"/>
      <c r="G236" s="44"/>
    </row>
    <row r="237" spans="4:7">
      <c r="D237" s="44"/>
      <c r="E237" s="44"/>
      <c r="F237" s="44"/>
      <c r="G237" s="44"/>
    </row>
    <row r="238" spans="4:7">
      <c r="D238" s="44"/>
      <c r="E238" s="44"/>
      <c r="F238" s="44"/>
      <c r="G238" s="44"/>
    </row>
    <row r="239" spans="4:7">
      <c r="D239" s="44"/>
      <c r="E239" s="44"/>
      <c r="F239" s="44"/>
      <c r="G239" s="44"/>
    </row>
    <row r="240" spans="4:7">
      <c r="D240" s="44"/>
      <c r="E240" s="44"/>
      <c r="F240" s="44"/>
      <c r="G240" s="44"/>
    </row>
    <row r="241" spans="4:7">
      <c r="D241" s="44"/>
      <c r="E241" s="44"/>
      <c r="F241" s="44"/>
      <c r="G241" s="44"/>
    </row>
    <row r="242" spans="4:7">
      <c r="D242" s="44"/>
      <c r="E242" s="44"/>
      <c r="F242" s="44"/>
      <c r="G242" s="44"/>
    </row>
    <row r="243" spans="4:7">
      <c r="D243" s="44"/>
      <c r="E243" s="44"/>
      <c r="F243" s="44"/>
      <c r="G243" s="44"/>
    </row>
    <row r="244" spans="4:7">
      <c r="D244" s="44"/>
      <c r="E244" s="44"/>
      <c r="F244" s="44"/>
      <c r="G244" s="44"/>
    </row>
    <row r="245" spans="4:7">
      <c r="D245" s="44"/>
      <c r="E245" s="44"/>
      <c r="F245" s="44"/>
      <c r="G245" s="44"/>
    </row>
    <row r="246" spans="4:7">
      <c r="D246" s="44"/>
      <c r="E246" s="44"/>
      <c r="F246" s="44"/>
      <c r="G246" s="44"/>
    </row>
    <row r="247" spans="4:7">
      <c r="D247" s="44"/>
      <c r="E247" s="44"/>
      <c r="F247" s="44"/>
      <c r="G247" s="44"/>
    </row>
    <row r="248" spans="4:7">
      <c r="D248" s="44"/>
      <c r="E248" s="44"/>
      <c r="F248" s="44"/>
      <c r="G248" s="44"/>
    </row>
    <row r="249" spans="4:7">
      <c r="D249" s="44"/>
      <c r="E249" s="44"/>
      <c r="F249" s="44"/>
      <c r="G249" s="44"/>
    </row>
    <row r="250" spans="4:7">
      <c r="D250" s="44"/>
      <c r="E250" s="44"/>
      <c r="F250" s="44"/>
      <c r="G250" s="44"/>
    </row>
    <row r="251" spans="4:7">
      <c r="D251" s="44"/>
      <c r="E251" s="44"/>
      <c r="F251" s="44"/>
      <c r="G251" s="44"/>
    </row>
    <row r="252" spans="4:7">
      <c r="D252" s="44"/>
      <c r="E252" s="44"/>
      <c r="F252" s="44"/>
      <c r="G252" s="44"/>
    </row>
    <row r="253" spans="4:7">
      <c r="D253" s="44"/>
      <c r="E253" s="44"/>
      <c r="F253" s="44"/>
      <c r="G253" s="44"/>
    </row>
    <row r="254" spans="4:7">
      <c r="D254" s="44"/>
      <c r="E254" s="44"/>
      <c r="F254" s="44"/>
      <c r="G254" s="44"/>
    </row>
    <row r="255" spans="4:7">
      <c r="D255" s="44"/>
      <c r="E255" s="44"/>
      <c r="F255" s="44"/>
      <c r="G255" s="44"/>
    </row>
    <row r="256" spans="4:7">
      <c r="D256" s="44"/>
      <c r="E256" s="44"/>
      <c r="F256" s="44"/>
      <c r="G256" s="44"/>
    </row>
    <row r="257" spans="4:7">
      <c r="D257" s="44"/>
      <c r="E257" s="44"/>
      <c r="F257" s="44"/>
      <c r="G257" s="44"/>
    </row>
    <row r="258" spans="4:7">
      <c r="D258" s="44"/>
      <c r="E258" s="44"/>
      <c r="F258" s="44"/>
      <c r="G258" s="44"/>
    </row>
    <row r="259" spans="4:7">
      <c r="D259" s="44"/>
      <c r="E259" s="44"/>
      <c r="F259" s="44"/>
      <c r="G259" s="44"/>
    </row>
    <row r="260" spans="4:7">
      <c r="D260" s="44"/>
      <c r="E260" s="44"/>
      <c r="F260" s="44"/>
      <c r="G260" s="44"/>
    </row>
    <row r="261" spans="4:7">
      <c r="D261" s="44"/>
      <c r="E261" s="44"/>
      <c r="F261" s="44"/>
      <c r="G261" s="44"/>
    </row>
    <row r="262" spans="4:7">
      <c r="D262" s="44"/>
      <c r="E262" s="44"/>
      <c r="F262" s="44"/>
      <c r="G262" s="44"/>
    </row>
    <row r="263" spans="4:7">
      <c r="D263" s="44"/>
      <c r="E263" s="44"/>
      <c r="F263" s="44"/>
      <c r="G263" s="44"/>
    </row>
    <row r="264" spans="4:7">
      <c r="D264" s="44"/>
      <c r="E264" s="44"/>
      <c r="F264" s="44"/>
      <c r="G264" s="44"/>
    </row>
    <row r="265" spans="4:7">
      <c r="D265" s="44"/>
      <c r="E265" s="44"/>
      <c r="F265" s="44"/>
      <c r="G265" s="44"/>
    </row>
    <row r="266" spans="4:7">
      <c r="D266" s="44"/>
      <c r="E266" s="44"/>
      <c r="F266" s="44"/>
      <c r="G266" s="44"/>
    </row>
    <row r="267" spans="4:7">
      <c r="D267" s="44"/>
      <c r="E267" s="44"/>
      <c r="F267" s="44"/>
      <c r="G267" s="44"/>
    </row>
    <row r="268" spans="4:7">
      <c r="D268" s="44"/>
      <c r="E268" s="44"/>
      <c r="F268" s="44"/>
      <c r="G268" s="44"/>
    </row>
    <row r="269" spans="4:7">
      <c r="D269" s="44"/>
      <c r="E269" s="44"/>
      <c r="F269" s="44"/>
      <c r="G269" s="44"/>
    </row>
    <row r="270" spans="4:7">
      <c r="D270" s="44"/>
      <c r="E270" s="44"/>
      <c r="F270" s="44"/>
      <c r="G270" s="44"/>
    </row>
    <row r="271" spans="4:7">
      <c r="D271" s="44"/>
      <c r="E271" s="44"/>
      <c r="F271" s="44"/>
      <c r="G271" s="44"/>
    </row>
    <row r="272" spans="4:7">
      <c r="D272" s="44"/>
      <c r="E272" s="44"/>
      <c r="F272" s="44"/>
      <c r="G272" s="44"/>
    </row>
    <row r="273" spans="4:7">
      <c r="D273" s="44"/>
      <c r="E273" s="44"/>
      <c r="F273" s="44"/>
      <c r="G273" s="44"/>
    </row>
    <row r="274" spans="4:7">
      <c r="D274" s="44"/>
      <c r="E274" s="44"/>
      <c r="F274" s="44"/>
      <c r="G274" s="44"/>
    </row>
    <row r="275" spans="4:7">
      <c r="D275" s="44"/>
      <c r="E275" s="44"/>
      <c r="F275" s="44"/>
      <c r="G275" s="44"/>
    </row>
    <row r="276" spans="4:7">
      <c r="D276" s="44"/>
      <c r="E276" s="44"/>
      <c r="F276" s="44"/>
      <c r="G276" s="44"/>
    </row>
    <row r="277" spans="4:7">
      <c r="D277" s="44"/>
      <c r="E277" s="44"/>
      <c r="F277" s="44"/>
      <c r="G277" s="44"/>
    </row>
    <row r="278" spans="4:7">
      <c r="D278" s="44"/>
      <c r="E278" s="44"/>
      <c r="F278" s="44"/>
      <c r="G278" s="44"/>
    </row>
    <row r="279" spans="4:7">
      <c r="D279" s="44"/>
      <c r="E279" s="44"/>
      <c r="F279" s="44"/>
      <c r="G279" s="44"/>
    </row>
    <row r="280" spans="4:7">
      <c r="D280" s="44"/>
      <c r="E280" s="44"/>
      <c r="F280" s="44"/>
      <c r="G280" s="44"/>
    </row>
    <row r="281" spans="4:7">
      <c r="D281" s="44"/>
      <c r="E281" s="44"/>
      <c r="F281" s="44"/>
      <c r="G281" s="44"/>
    </row>
    <row r="282" spans="4:7">
      <c r="D282" s="44"/>
      <c r="E282" s="44"/>
      <c r="F282" s="44"/>
      <c r="G282" s="44"/>
    </row>
    <row r="283" spans="4:7">
      <c r="D283" s="44"/>
      <c r="E283" s="44"/>
      <c r="F283" s="44"/>
      <c r="G283" s="44"/>
    </row>
    <row r="284" spans="4:7">
      <c r="D284" s="44"/>
      <c r="E284" s="44"/>
      <c r="F284" s="44"/>
      <c r="G284" s="44"/>
    </row>
    <row r="285" spans="4:7">
      <c r="D285" s="44"/>
      <c r="E285" s="44"/>
      <c r="F285" s="44"/>
      <c r="G285" s="44"/>
    </row>
    <row r="286" spans="4:7">
      <c r="D286" s="44"/>
      <c r="E286" s="44"/>
      <c r="F286" s="44"/>
      <c r="G286" s="44"/>
    </row>
    <row r="287" spans="4:7">
      <c r="D287" s="44"/>
      <c r="E287" s="44"/>
      <c r="F287" s="44"/>
      <c r="G287" s="44"/>
    </row>
    <row r="288" spans="4:7">
      <c r="D288" s="44"/>
      <c r="E288" s="44"/>
      <c r="F288" s="44"/>
      <c r="G288" s="44"/>
    </row>
    <row r="289" spans="4:7">
      <c r="D289" s="44"/>
      <c r="E289" s="44"/>
      <c r="F289" s="44"/>
      <c r="G289" s="44"/>
    </row>
    <row r="290" spans="4:7">
      <c r="D290" s="44"/>
      <c r="E290" s="44"/>
      <c r="F290" s="44"/>
      <c r="G290" s="44"/>
    </row>
    <row r="291" spans="4:7">
      <c r="D291" s="44"/>
      <c r="E291" s="44"/>
      <c r="F291" s="44"/>
      <c r="G291" s="44"/>
    </row>
    <row r="292" spans="4:7">
      <c r="D292" s="44"/>
      <c r="E292" s="44"/>
      <c r="F292" s="44"/>
      <c r="G292" s="44"/>
    </row>
    <row r="293" spans="4:7">
      <c r="D293" s="44"/>
      <c r="E293" s="44"/>
      <c r="F293" s="44"/>
      <c r="G293" s="44"/>
    </row>
    <row r="294" spans="4:7">
      <c r="D294" s="44"/>
      <c r="E294" s="44"/>
      <c r="F294" s="44"/>
      <c r="G294" s="44"/>
    </row>
    <row r="295" spans="4:7">
      <c r="D295" s="44"/>
      <c r="E295" s="44"/>
      <c r="F295" s="44"/>
      <c r="G295" s="44"/>
    </row>
    <row r="296" spans="4:7">
      <c r="D296" s="44"/>
      <c r="E296" s="44"/>
      <c r="F296" s="44"/>
      <c r="G296" s="44"/>
    </row>
    <row r="297" spans="4:7">
      <c r="D297" s="44"/>
      <c r="E297" s="44"/>
      <c r="F297" s="44"/>
      <c r="G297" s="44"/>
    </row>
    <row r="298" spans="4:7">
      <c r="D298" s="44"/>
      <c r="E298" s="44"/>
      <c r="F298" s="44"/>
      <c r="G298" s="44"/>
    </row>
    <row r="299" spans="4:7">
      <c r="D299" s="44"/>
      <c r="E299" s="44"/>
      <c r="F299" s="44"/>
      <c r="G299" s="44"/>
    </row>
    <row r="300" spans="4:7">
      <c r="D300" s="44"/>
      <c r="E300" s="44"/>
      <c r="F300" s="44"/>
      <c r="G300" s="44"/>
    </row>
    <row r="301" spans="4:7">
      <c r="D301" s="44"/>
      <c r="E301" s="44"/>
      <c r="F301" s="44"/>
      <c r="G301" s="44"/>
    </row>
    <row r="302" spans="4:7">
      <c r="D302" s="44"/>
      <c r="E302" s="44"/>
      <c r="F302" s="44"/>
      <c r="G302" s="44"/>
    </row>
    <row r="303" spans="4:7">
      <c r="D303" s="44"/>
      <c r="E303" s="44"/>
      <c r="F303" s="44"/>
      <c r="G303" s="44"/>
    </row>
    <row r="304" spans="4:7">
      <c r="D304" s="44"/>
      <c r="E304" s="44"/>
      <c r="F304" s="44"/>
      <c r="G304" s="44"/>
    </row>
    <row r="305" spans="4:7">
      <c r="D305" s="44"/>
      <c r="E305" s="44"/>
      <c r="F305" s="44"/>
      <c r="G305" s="44"/>
    </row>
    <row r="306" spans="4:7">
      <c r="D306" s="44"/>
      <c r="E306" s="44"/>
      <c r="F306" s="44"/>
      <c r="G306" s="44"/>
    </row>
    <row r="307" spans="4:7">
      <c r="D307" s="44"/>
      <c r="E307" s="44"/>
      <c r="F307" s="44"/>
      <c r="G307" s="44"/>
    </row>
    <row r="308" spans="4:7">
      <c r="D308" s="44"/>
      <c r="E308" s="44"/>
      <c r="F308" s="44"/>
      <c r="G308" s="44"/>
    </row>
    <row r="309" spans="4:7">
      <c r="D309" s="44"/>
      <c r="E309" s="44"/>
      <c r="F309" s="44"/>
      <c r="G309" s="44"/>
    </row>
    <row r="310" spans="4:7">
      <c r="D310" s="44"/>
      <c r="E310" s="44"/>
      <c r="F310" s="44"/>
      <c r="G310" s="44"/>
    </row>
    <row r="311" spans="4:7">
      <c r="D311" s="44"/>
      <c r="E311" s="44"/>
      <c r="F311" s="44"/>
      <c r="G311" s="44"/>
    </row>
    <row r="312" spans="4:7">
      <c r="D312" s="44"/>
      <c r="E312" s="44"/>
      <c r="F312" s="44"/>
      <c r="G312" s="44"/>
    </row>
    <row r="313" spans="4:7">
      <c r="D313" s="44"/>
      <c r="E313" s="44"/>
      <c r="F313" s="44"/>
      <c r="G313" s="44"/>
    </row>
    <row r="314" spans="4:7">
      <c r="D314" s="44"/>
      <c r="E314" s="44"/>
      <c r="F314" s="44"/>
      <c r="G314" s="44"/>
    </row>
    <row r="315" spans="4:7">
      <c r="D315" s="44"/>
      <c r="E315" s="44"/>
      <c r="F315" s="44"/>
      <c r="G315" s="44"/>
    </row>
    <row r="316" spans="4:7">
      <c r="D316" s="44"/>
      <c r="E316" s="44"/>
      <c r="F316" s="44"/>
      <c r="G316" s="44"/>
    </row>
    <row r="317" spans="4:7">
      <c r="D317" s="44"/>
      <c r="E317" s="44"/>
      <c r="F317" s="44"/>
      <c r="G317" s="44"/>
    </row>
    <row r="318" spans="4:7">
      <c r="D318" s="44"/>
      <c r="E318" s="44"/>
      <c r="F318" s="44"/>
      <c r="G318" s="44"/>
    </row>
    <row r="319" spans="4:7">
      <c r="D319" s="44"/>
      <c r="E319" s="44"/>
      <c r="F319" s="44"/>
      <c r="G319" s="44"/>
    </row>
    <row r="320" spans="4:7">
      <c r="D320" s="44"/>
      <c r="E320" s="44"/>
      <c r="F320" s="44"/>
      <c r="G320" s="44"/>
    </row>
    <row r="321" spans="4:7">
      <c r="D321" s="44"/>
      <c r="E321" s="44"/>
      <c r="F321" s="44"/>
      <c r="G321" s="44"/>
    </row>
    <row r="322" spans="4:7">
      <c r="D322" s="44"/>
      <c r="E322" s="44"/>
      <c r="F322" s="44"/>
      <c r="G322" s="44"/>
    </row>
    <row r="323" spans="4:7">
      <c r="D323" s="44"/>
      <c r="E323" s="44"/>
      <c r="F323" s="44"/>
      <c r="G323" s="44"/>
    </row>
    <row r="324" spans="4:7">
      <c r="D324" s="44"/>
      <c r="E324" s="44"/>
      <c r="F324" s="44"/>
      <c r="G324" s="44"/>
    </row>
    <row r="325" spans="4:7">
      <c r="D325" s="44"/>
      <c r="E325" s="44"/>
      <c r="F325" s="44"/>
      <c r="G325" s="44"/>
    </row>
    <row r="326" spans="4:7">
      <c r="D326" s="44"/>
      <c r="E326" s="44"/>
      <c r="F326" s="44"/>
      <c r="G326" s="44"/>
    </row>
    <row r="327" spans="4:7">
      <c r="D327" s="44"/>
      <c r="E327" s="44"/>
      <c r="F327" s="44"/>
      <c r="G327" s="44"/>
    </row>
    <row r="328" spans="4:7">
      <c r="D328" s="44"/>
      <c r="E328" s="44"/>
      <c r="F328" s="44"/>
      <c r="G328" s="44"/>
    </row>
    <row r="329" spans="4:7">
      <c r="D329" s="44"/>
      <c r="E329" s="44"/>
      <c r="F329" s="44"/>
      <c r="G329" s="44"/>
    </row>
    <row r="330" spans="4:7">
      <c r="D330" s="44"/>
      <c r="E330" s="44"/>
      <c r="F330" s="44"/>
      <c r="G330" s="44"/>
    </row>
    <row r="331" spans="4:7">
      <c r="D331" s="44"/>
      <c r="E331" s="44"/>
      <c r="F331" s="44"/>
      <c r="G331" s="44"/>
    </row>
    <row r="332" spans="4:7">
      <c r="D332" s="44"/>
      <c r="E332" s="44"/>
      <c r="F332" s="44"/>
      <c r="G332" s="44"/>
    </row>
    <row r="333" spans="4:7">
      <c r="D333" s="44"/>
      <c r="E333" s="44"/>
      <c r="F333" s="44"/>
      <c r="G333" s="44"/>
    </row>
    <row r="334" spans="4:7">
      <c r="D334" s="44"/>
      <c r="E334" s="44"/>
      <c r="F334" s="44"/>
      <c r="G334" s="44"/>
    </row>
    <row r="335" spans="4:7">
      <c r="D335" s="44"/>
      <c r="E335" s="44"/>
      <c r="F335" s="44"/>
      <c r="G335" s="44"/>
    </row>
    <row r="336" spans="4:7">
      <c r="D336" s="44"/>
      <c r="E336" s="44"/>
      <c r="F336" s="44"/>
      <c r="G336" s="44"/>
    </row>
    <row r="337" spans="4:7">
      <c r="D337" s="44"/>
      <c r="E337" s="44"/>
      <c r="F337" s="44"/>
      <c r="G337" s="44"/>
    </row>
    <row r="338" spans="4:7">
      <c r="D338" s="44"/>
      <c r="E338" s="44"/>
      <c r="F338" s="44"/>
      <c r="G338" s="44"/>
    </row>
    <row r="339" spans="4:7">
      <c r="D339" s="44"/>
      <c r="E339" s="44"/>
      <c r="F339" s="44"/>
      <c r="G339" s="44"/>
    </row>
    <row r="340" spans="4:7">
      <c r="D340" s="44"/>
      <c r="E340" s="44"/>
      <c r="F340" s="44"/>
      <c r="G340" s="44"/>
    </row>
    <row r="341" spans="4:7">
      <c r="D341" s="44"/>
      <c r="E341" s="44"/>
      <c r="F341" s="44"/>
      <c r="G341" s="44"/>
    </row>
    <row r="342" spans="4:7">
      <c r="D342" s="44"/>
      <c r="E342" s="44"/>
      <c r="F342" s="44"/>
      <c r="G342" s="44"/>
    </row>
    <row r="343" spans="4:7">
      <c r="D343" s="44"/>
      <c r="E343" s="44"/>
      <c r="F343" s="44"/>
      <c r="G343" s="44"/>
    </row>
    <row r="344" spans="4:7">
      <c r="D344" s="44"/>
      <c r="E344" s="44"/>
      <c r="F344" s="44"/>
      <c r="G344" s="44"/>
    </row>
    <row r="345" spans="4:7">
      <c r="D345" s="44"/>
      <c r="E345" s="44"/>
      <c r="F345" s="44"/>
      <c r="G345" s="44"/>
    </row>
    <row r="346" spans="4:7">
      <c r="D346" s="44"/>
      <c r="E346" s="44"/>
      <c r="F346" s="44"/>
      <c r="G346" s="44"/>
    </row>
    <row r="347" spans="4:7">
      <c r="D347" s="44"/>
      <c r="E347" s="44"/>
      <c r="F347" s="44"/>
      <c r="G347" s="44"/>
    </row>
    <row r="348" spans="4:7">
      <c r="D348" s="44"/>
      <c r="E348" s="44"/>
      <c r="F348" s="44"/>
      <c r="G348" s="44"/>
    </row>
    <row r="349" spans="4:7">
      <c r="D349" s="44"/>
      <c r="E349" s="44"/>
      <c r="F349" s="44"/>
      <c r="G349" s="44"/>
    </row>
    <row r="350" spans="4:7">
      <c r="D350" s="44"/>
      <c r="E350" s="44"/>
      <c r="F350" s="44"/>
      <c r="G350" s="44"/>
    </row>
    <row r="351" spans="4:7">
      <c r="D351" s="44"/>
      <c r="E351" s="44"/>
      <c r="F351" s="44"/>
      <c r="G351" s="44"/>
    </row>
    <row r="352" spans="4:7">
      <c r="D352" s="44"/>
      <c r="E352" s="44"/>
      <c r="F352" s="44"/>
      <c r="G352" s="44"/>
    </row>
    <row r="353" spans="4:7">
      <c r="D353" s="44"/>
      <c r="E353" s="44"/>
      <c r="F353" s="44"/>
      <c r="G353" s="44"/>
    </row>
    <row r="354" spans="4:7">
      <c r="D354" s="44"/>
      <c r="E354" s="44"/>
      <c r="F354" s="44"/>
      <c r="G354" s="44"/>
    </row>
    <row r="355" spans="4:7">
      <c r="D355" s="44"/>
      <c r="E355" s="44"/>
      <c r="F355" s="44"/>
      <c r="G355" s="44"/>
    </row>
    <row r="356" spans="4:7">
      <c r="D356" s="44"/>
      <c r="E356" s="44"/>
      <c r="F356" s="44"/>
      <c r="G356" s="44"/>
    </row>
    <row r="357" spans="4:7">
      <c r="D357" s="44"/>
      <c r="E357" s="44"/>
      <c r="F357" s="44"/>
      <c r="G357" s="44"/>
    </row>
    <row r="358" spans="4:7">
      <c r="D358" s="44"/>
      <c r="E358" s="44"/>
      <c r="F358" s="44"/>
      <c r="G358" s="44"/>
    </row>
    <row r="359" spans="4:7">
      <c r="D359" s="44"/>
      <c r="E359" s="44"/>
      <c r="F359" s="44"/>
      <c r="G359" s="44"/>
    </row>
    <row r="360" spans="4:7">
      <c r="D360" s="44"/>
      <c r="E360" s="44"/>
      <c r="F360" s="44"/>
      <c r="G360" s="44"/>
    </row>
    <row r="361" spans="4:7">
      <c r="D361" s="44"/>
      <c r="E361" s="44"/>
      <c r="F361" s="44"/>
      <c r="G361" s="44"/>
    </row>
    <row r="362" spans="4:7">
      <c r="D362" s="44"/>
      <c r="E362" s="44"/>
      <c r="F362" s="44"/>
      <c r="G362" s="44"/>
    </row>
    <row r="363" spans="4:7">
      <c r="D363" s="44"/>
      <c r="E363" s="44"/>
      <c r="F363" s="44"/>
      <c r="G363" s="44"/>
    </row>
    <row r="364" spans="4:7">
      <c r="D364" s="44"/>
      <c r="E364" s="44"/>
      <c r="F364" s="44"/>
      <c r="G364" s="44"/>
    </row>
    <row r="365" spans="4:7">
      <c r="D365" s="44"/>
      <c r="E365" s="44"/>
      <c r="F365" s="44"/>
      <c r="G365" s="44"/>
    </row>
    <row r="366" spans="4:7">
      <c r="D366" s="44"/>
      <c r="E366" s="44"/>
      <c r="F366" s="44"/>
      <c r="G366" s="44"/>
    </row>
    <row r="367" spans="4:7">
      <c r="D367" s="44"/>
      <c r="E367" s="44"/>
      <c r="F367" s="44"/>
      <c r="G367" s="44"/>
    </row>
    <row r="368" spans="4:7">
      <c r="D368" s="44"/>
      <c r="E368" s="44"/>
      <c r="F368" s="44"/>
      <c r="G368" s="44"/>
    </row>
    <row r="369" spans="4:7">
      <c r="D369" s="44"/>
      <c r="E369" s="44"/>
      <c r="F369" s="44"/>
      <c r="G369" s="44"/>
    </row>
    <row r="370" spans="4:7">
      <c r="D370" s="44"/>
      <c r="E370" s="44"/>
      <c r="F370" s="44"/>
      <c r="G370" s="44"/>
    </row>
    <row r="371" spans="4:7">
      <c r="D371" s="44"/>
      <c r="E371" s="44"/>
      <c r="F371" s="44"/>
      <c r="G371" s="44"/>
    </row>
    <row r="372" spans="4:7">
      <c r="D372" s="44"/>
      <c r="E372" s="44"/>
      <c r="F372" s="44"/>
      <c r="G372" s="44"/>
    </row>
    <row r="373" spans="4:7">
      <c r="D373" s="44"/>
      <c r="E373" s="44"/>
      <c r="F373" s="44"/>
      <c r="G373" s="44"/>
    </row>
    <row r="374" spans="4:7">
      <c r="D374" s="44"/>
      <c r="E374" s="44"/>
      <c r="F374" s="44"/>
      <c r="G374" s="44"/>
    </row>
    <row r="375" spans="4:7">
      <c r="D375" s="44"/>
      <c r="E375" s="44"/>
      <c r="F375" s="44"/>
      <c r="G375" s="44"/>
    </row>
    <row r="376" spans="4:7">
      <c r="D376" s="44"/>
      <c r="E376" s="44"/>
      <c r="F376" s="44"/>
      <c r="G376" s="44"/>
    </row>
    <row r="377" spans="4:7">
      <c r="D377" s="44"/>
      <c r="E377" s="44"/>
      <c r="F377" s="44"/>
      <c r="G377" s="44"/>
    </row>
    <row r="378" spans="4:7">
      <c r="D378" s="44"/>
      <c r="E378" s="44"/>
      <c r="F378" s="44"/>
      <c r="G378" s="44"/>
    </row>
    <row r="379" spans="4:7">
      <c r="D379" s="44"/>
      <c r="E379" s="44"/>
      <c r="F379" s="44"/>
      <c r="G379" s="44"/>
    </row>
    <row r="380" spans="4:7">
      <c r="D380" s="44"/>
      <c r="E380" s="44"/>
      <c r="F380" s="44"/>
      <c r="G380" s="44"/>
    </row>
    <row r="381" spans="4:7">
      <c r="D381" s="44"/>
      <c r="E381" s="44"/>
      <c r="F381" s="44"/>
      <c r="G381" s="44"/>
    </row>
    <row r="382" spans="4:7">
      <c r="D382" s="44"/>
      <c r="E382" s="44"/>
      <c r="F382" s="44"/>
      <c r="G382" s="44"/>
    </row>
    <row r="383" spans="4:7">
      <c r="D383" s="44"/>
      <c r="E383" s="44"/>
      <c r="F383" s="44"/>
      <c r="G383" s="44"/>
    </row>
    <row r="384" spans="4:7">
      <c r="D384" s="44"/>
      <c r="E384" s="44"/>
      <c r="F384" s="44"/>
      <c r="G384" s="44"/>
    </row>
    <row r="385" spans="4:7">
      <c r="D385" s="44"/>
      <c r="E385" s="44"/>
      <c r="F385" s="44"/>
      <c r="G385" s="44"/>
    </row>
    <row r="386" spans="4:7">
      <c r="D386" s="44"/>
      <c r="E386" s="44"/>
      <c r="F386" s="44"/>
      <c r="G386" s="44"/>
    </row>
    <row r="387" spans="4:7">
      <c r="D387" s="44"/>
      <c r="E387" s="44"/>
      <c r="F387" s="44"/>
      <c r="G387" s="44"/>
    </row>
    <row r="388" spans="4:7">
      <c r="D388" s="44"/>
      <c r="E388" s="44"/>
      <c r="F388" s="44"/>
      <c r="G388" s="44"/>
    </row>
    <row r="389" spans="4:7">
      <c r="D389" s="44"/>
      <c r="E389" s="44"/>
      <c r="F389" s="44"/>
      <c r="G389" s="44"/>
    </row>
    <row r="390" spans="4:7">
      <c r="D390" s="44"/>
      <c r="E390" s="44"/>
      <c r="F390" s="44"/>
      <c r="G390" s="44"/>
    </row>
    <row r="391" spans="4:7">
      <c r="D391" s="44"/>
      <c r="E391" s="44"/>
      <c r="F391" s="44"/>
      <c r="G391" s="44"/>
    </row>
    <row r="392" spans="4:7">
      <c r="D392" s="44"/>
      <c r="E392" s="44"/>
      <c r="F392" s="44"/>
      <c r="G392" s="44"/>
    </row>
    <row r="393" spans="4:7">
      <c r="D393" s="44"/>
      <c r="E393" s="44"/>
      <c r="F393" s="44"/>
      <c r="G393" s="44"/>
    </row>
    <row r="394" spans="4:7">
      <c r="D394" s="44"/>
      <c r="E394" s="44"/>
      <c r="F394" s="44"/>
      <c r="G394" s="44"/>
    </row>
    <row r="395" spans="4:7">
      <c r="D395" s="44"/>
      <c r="E395" s="44"/>
      <c r="F395" s="44"/>
      <c r="G395" s="44"/>
    </row>
    <row r="396" spans="4:7">
      <c r="D396" s="44"/>
      <c r="E396" s="44"/>
      <c r="F396" s="44"/>
      <c r="G396" s="44"/>
    </row>
    <row r="397" spans="4:7">
      <c r="D397" s="44"/>
      <c r="E397" s="44"/>
      <c r="F397" s="44"/>
      <c r="G397" s="44"/>
    </row>
    <row r="398" spans="4:7">
      <c r="D398" s="44"/>
      <c r="E398" s="44"/>
      <c r="F398" s="44"/>
      <c r="G398" s="44"/>
    </row>
    <row r="399" spans="4:7">
      <c r="D399" s="44"/>
      <c r="E399" s="44"/>
      <c r="F399" s="44"/>
      <c r="G399" s="44"/>
    </row>
    <row r="400" spans="4:7">
      <c r="D400" s="44"/>
      <c r="E400" s="44"/>
      <c r="F400" s="44"/>
      <c r="G400" s="44"/>
    </row>
    <row r="401" spans="4:7">
      <c r="D401" s="44"/>
      <c r="E401" s="44"/>
      <c r="F401" s="44"/>
      <c r="G401" s="44"/>
    </row>
    <row r="402" spans="4:7">
      <c r="D402" s="44"/>
      <c r="E402" s="44"/>
      <c r="F402" s="44"/>
      <c r="G402" s="44"/>
    </row>
    <row r="403" spans="4:7">
      <c r="D403" s="44"/>
      <c r="E403" s="44"/>
      <c r="F403" s="44"/>
      <c r="G403" s="44"/>
    </row>
    <row r="404" spans="4:7">
      <c r="D404" s="44"/>
      <c r="E404" s="44"/>
      <c r="F404" s="44"/>
      <c r="G404" s="44"/>
    </row>
    <row r="405" spans="4:7">
      <c r="D405" s="44"/>
      <c r="E405" s="44"/>
      <c r="F405" s="44"/>
      <c r="G405" s="44"/>
    </row>
    <row r="406" spans="4:7">
      <c r="D406" s="44"/>
      <c r="E406" s="44"/>
      <c r="F406" s="44"/>
      <c r="G406" s="44"/>
    </row>
    <row r="407" spans="4:7">
      <c r="D407" s="44"/>
      <c r="E407" s="44"/>
      <c r="F407" s="44"/>
      <c r="G407" s="44"/>
    </row>
    <row r="408" spans="4:7">
      <c r="D408" s="44"/>
      <c r="E408" s="44"/>
      <c r="F408" s="44"/>
      <c r="G408" s="44"/>
    </row>
    <row r="409" spans="4:7">
      <c r="D409" s="44"/>
      <c r="E409" s="44"/>
      <c r="F409" s="44"/>
      <c r="G409" s="44"/>
    </row>
    <row r="410" spans="4:7">
      <c r="D410" s="44"/>
      <c r="E410" s="44"/>
      <c r="F410" s="44"/>
      <c r="G410" s="44"/>
    </row>
    <row r="411" spans="4:7">
      <c r="D411" s="44"/>
      <c r="E411" s="44"/>
      <c r="F411" s="44"/>
      <c r="G411" s="44"/>
    </row>
    <row r="412" spans="4:7">
      <c r="D412" s="44"/>
      <c r="E412" s="44"/>
      <c r="F412" s="44"/>
      <c r="G412" s="44"/>
    </row>
    <row r="413" spans="4:7">
      <c r="D413" s="44"/>
      <c r="E413" s="44"/>
      <c r="F413" s="44"/>
      <c r="G413" s="44"/>
    </row>
    <row r="414" spans="4:7">
      <c r="D414" s="44"/>
      <c r="E414" s="44"/>
      <c r="F414" s="44"/>
      <c r="G414" s="44"/>
    </row>
    <row r="415" spans="4:7">
      <c r="D415" s="44"/>
      <c r="E415" s="44"/>
      <c r="F415" s="44"/>
      <c r="G415" s="44"/>
    </row>
    <row r="416" spans="4:7">
      <c r="D416" s="44"/>
      <c r="E416" s="44"/>
      <c r="F416" s="44"/>
      <c r="G416" s="44"/>
    </row>
    <row r="417" spans="4:7">
      <c r="D417" s="44"/>
      <c r="E417" s="44"/>
      <c r="F417" s="44"/>
      <c r="G417" s="44"/>
    </row>
    <row r="418" spans="4:7">
      <c r="D418" s="44"/>
      <c r="E418" s="44"/>
      <c r="F418" s="44"/>
      <c r="G418" s="44"/>
    </row>
    <row r="419" spans="4:7">
      <c r="D419" s="44"/>
      <c r="E419" s="44"/>
      <c r="F419" s="44"/>
      <c r="G419" s="44"/>
    </row>
    <row r="420" spans="4:7">
      <c r="D420" s="44"/>
      <c r="E420" s="44"/>
      <c r="F420" s="44"/>
      <c r="G420" s="44"/>
    </row>
    <row r="421" spans="4:7">
      <c r="D421" s="44"/>
      <c r="E421" s="44"/>
      <c r="F421" s="44"/>
      <c r="G421" s="44"/>
    </row>
    <row r="422" spans="4:7">
      <c r="D422" s="44"/>
      <c r="E422" s="44"/>
      <c r="F422" s="44"/>
      <c r="G422" s="44"/>
    </row>
    <row r="423" spans="4:7">
      <c r="D423" s="44"/>
      <c r="E423" s="44"/>
      <c r="F423" s="44"/>
      <c r="G423" s="44"/>
    </row>
    <row r="424" spans="4:7">
      <c r="D424" s="44"/>
      <c r="E424" s="44"/>
      <c r="F424" s="44"/>
      <c r="G424" s="44"/>
    </row>
    <row r="425" spans="4:7">
      <c r="D425" s="44"/>
      <c r="E425" s="44"/>
      <c r="F425" s="44"/>
      <c r="G425" s="44"/>
    </row>
    <row r="426" spans="4:7">
      <c r="D426" s="44"/>
      <c r="E426" s="44"/>
      <c r="F426" s="44"/>
      <c r="G426" s="44"/>
    </row>
    <row r="427" spans="4:7">
      <c r="D427" s="44"/>
      <c r="E427" s="44"/>
      <c r="F427" s="44"/>
      <c r="G427" s="44"/>
    </row>
    <row r="428" spans="4:7">
      <c r="D428" s="44"/>
      <c r="E428" s="44"/>
      <c r="F428" s="44"/>
      <c r="G428" s="44"/>
    </row>
    <row r="429" spans="4:7">
      <c r="D429" s="44"/>
      <c r="E429" s="44"/>
      <c r="F429" s="44"/>
      <c r="G429" s="44"/>
    </row>
    <row r="430" spans="4:7">
      <c r="D430" s="44"/>
      <c r="E430" s="44"/>
      <c r="F430" s="44"/>
      <c r="G430" s="44"/>
    </row>
    <row r="431" spans="4:7">
      <c r="D431" s="44"/>
      <c r="E431" s="44"/>
      <c r="F431" s="44"/>
      <c r="G431" s="44"/>
    </row>
    <row r="432" spans="4:7">
      <c r="D432" s="44"/>
      <c r="E432" s="44"/>
      <c r="F432" s="44"/>
      <c r="G432" s="44"/>
    </row>
    <row r="433" spans="4:7">
      <c r="D433" s="44"/>
      <c r="E433" s="44"/>
      <c r="F433" s="44"/>
      <c r="G433" s="44"/>
    </row>
    <row r="434" spans="4:7">
      <c r="D434" s="44"/>
      <c r="E434" s="44"/>
      <c r="F434" s="44"/>
      <c r="G434" s="44"/>
    </row>
    <row r="435" spans="4:7">
      <c r="D435" s="44"/>
      <c r="E435" s="44"/>
      <c r="F435" s="44"/>
      <c r="G435" s="44"/>
    </row>
    <row r="436" spans="4:7">
      <c r="D436" s="44"/>
      <c r="E436" s="44"/>
      <c r="F436" s="44"/>
      <c r="G436" s="44"/>
    </row>
    <row r="437" spans="4:7">
      <c r="D437" s="44"/>
      <c r="E437" s="44"/>
      <c r="F437" s="44"/>
      <c r="G437" s="44"/>
    </row>
    <row r="438" spans="4:7">
      <c r="D438" s="44"/>
      <c r="E438" s="44"/>
      <c r="F438" s="44"/>
      <c r="G438" s="44"/>
    </row>
    <row r="439" spans="4:7">
      <c r="D439" s="44"/>
      <c r="E439" s="44"/>
      <c r="F439" s="44"/>
      <c r="G439" s="44"/>
    </row>
    <row r="440" spans="4:7">
      <c r="D440" s="44"/>
      <c r="E440" s="44"/>
      <c r="F440" s="44"/>
      <c r="G440" s="44"/>
    </row>
    <row r="441" spans="4:7">
      <c r="D441" s="44"/>
      <c r="E441" s="44"/>
      <c r="F441" s="44"/>
      <c r="G441" s="44"/>
    </row>
    <row r="442" spans="4:7">
      <c r="D442" s="44"/>
      <c r="E442" s="44"/>
      <c r="F442" s="44"/>
      <c r="G442" s="44"/>
    </row>
    <row r="443" spans="4:7">
      <c r="D443" s="44"/>
      <c r="E443" s="44"/>
      <c r="F443" s="44"/>
      <c r="G443" s="44"/>
    </row>
    <row r="444" spans="4:7">
      <c r="D444" s="44"/>
      <c r="E444" s="44"/>
      <c r="F444" s="44"/>
      <c r="G444" s="44"/>
    </row>
    <row r="445" spans="4:7">
      <c r="D445" s="44"/>
      <c r="E445" s="44"/>
      <c r="F445" s="44"/>
      <c r="G445" s="44"/>
    </row>
    <row r="446" spans="4:7">
      <c r="D446" s="44"/>
      <c r="E446" s="44"/>
      <c r="F446" s="44"/>
      <c r="G446" s="44"/>
    </row>
    <row r="447" spans="4:7">
      <c r="D447" s="44"/>
      <c r="E447" s="44"/>
      <c r="F447" s="44"/>
      <c r="G447" s="44"/>
    </row>
    <row r="448" spans="4:7">
      <c r="D448" s="44"/>
      <c r="E448" s="44"/>
      <c r="F448" s="44"/>
      <c r="G448" s="44"/>
    </row>
    <row r="449" spans="4:7">
      <c r="D449" s="44"/>
      <c r="E449" s="44"/>
      <c r="F449" s="44"/>
      <c r="G449" s="44"/>
    </row>
    <row r="450" spans="4:7">
      <c r="D450" s="44"/>
      <c r="E450" s="44"/>
      <c r="F450" s="44"/>
      <c r="G450" s="44"/>
    </row>
    <row r="451" spans="4:7">
      <c r="D451" s="44"/>
      <c r="E451" s="44"/>
      <c r="F451" s="44"/>
      <c r="G451" s="44"/>
    </row>
    <row r="452" spans="4:7">
      <c r="D452" s="44"/>
      <c r="E452" s="44"/>
      <c r="F452" s="44"/>
      <c r="G452" s="44"/>
    </row>
    <row r="453" spans="4:7">
      <c r="D453" s="44"/>
      <c r="E453" s="44"/>
      <c r="F453" s="44"/>
      <c r="G453" s="44"/>
    </row>
    <row r="454" spans="4:7">
      <c r="D454" s="44"/>
      <c r="E454" s="44"/>
      <c r="F454" s="44"/>
      <c r="G454" s="44"/>
    </row>
    <row r="455" spans="4:7">
      <c r="D455" s="44"/>
      <c r="E455" s="44"/>
      <c r="F455" s="44"/>
      <c r="G455" s="44"/>
    </row>
    <row r="456" spans="4:7">
      <c r="D456" s="44"/>
      <c r="E456" s="44"/>
      <c r="F456" s="44"/>
      <c r="G456" s="44"/>
    </row>
    <row r="457" spans="4:7">
      <c r="D457" s="44"/>
      <c r="E457" s="44"/>
      <c r="F457" s="44"/>
      <c r="G457" s="44"/>
    </row>
    <row r="458" spans="4:7">
      <c r="D458" s="44"/>
      <c r="E458" s="44"/>
      <c r="F458" s="44"/>
      <c r="G458" s="44"/>
    </row>
    <row r="459" spans="4:7">
      <c r="D459" s="44"/>
      <c r="E459" s="44"/>
      <c r="F459" s="44"/>
      <c r="G459" s="44"/>
    </row>
    <row r="460" spans="4:7">
      <c r="D460" s="44"/>
      <c r="E460" s="44"/>
      <c r="F460" s="44"/>
      <c r="G460" s="44"/>
    </row>
    <row r="461" spans="4:7">
      <c r="D461" s="44"/>
      <c r="E461" s="44"/>
      <c r="F461" s="44"/>
      <c r="G461" s="44"/>
    </row>
    <row r="462" spans="4:7">
      <c r="D462" s="44"/>
      <c r="E462" s="44"/>
      <c r="F462" s="44"/>
      <c r="G462" s="44"/>
    </row>
    <row r="463" spans="4:7">
      <c r="D463" s="44"/>
      <c r="E463" s="44"/>
      <c r="F463" s="44"/>
      <c r="G463" s="44"/>
    </row>
    <row r="464" spans="4:7">
      <c r="D464" s="44"/>
      <c r="E464" s="44"/>
      <c r="F464" s="44"/>
      <c r="G464" s="44"/>
    </row>
    <row r="465" spans="4:7">
      <c r="D465" s="44"/>
      <c r="E465" s="44"/>
      <c r="F465" s="44"/>
      <c r="G465" s="44"/>
    </row>
    <row r="466" spans="4:7">
      <c r="D466" s="44"/>
      <c r="E466" s="44"/>
      <c r="F466" s="44"/>
      <c r="G466" s="44"/>
    </row>
    <row r="467" spans="4:7">
      <c r="D467" s="44"/>
      <c r="E467" s="44"/>
      <c r="F467" s="44"/>
      <c r="G467" s="44"/>
    </row>
    <row r="468" spans="4:7">
      <c r="D468" s="44"/>
      <c r="E468" s="44"/>
      <c r="F468" s="44"/>
      <c r="G468" s="44"/>
    </row>
    <row r="469" spans="4:7">
      <c r="D469" s="44"/>
      <c r="E469" s="44"/>
      <c r="F469" s="44"/>
      <c r="G469" s="44"/>
    </row>
    <row r="470" spans="4:7">
      <c r="D470" s="44"/>
      <c r="E470" s="44"/>
      <c r="F470" s="44"/>
      <c r="G470" s="44"/>
    </row>
    <row r="471" spans="4:7">
      <c r="D471" s="44"/>
      <c r="E471" s="44"/>
      <c r="F471" s="44"/>
      <c r="G471" s="44"/>
    </row>
    <row r="472" spans="4:7">
      <c r="D472" s="44"/>
      <c r="E472" s="44"/>
      <c r="F472" s="44"/>
      <c r="G472" s="44"/>
    </row>
    <row r="473" spans="4:7">
      <c r="D473" s="44"/>
      <c r="E473" s="44"/>
      <c r="F473" s="44"/>
      <c r="G473" s="44"/>
    </row>
    <row r="474" spans="4:7">
      <c r="D474" s="44"/>
      <c r="E474" s="44"/>
      <c r="F474" s="44"/>
      <c r="G474" s="44"/>
    </row>
    <row r="475" spans="4:7">
      <c r="D475" s="44"/>
      <c r="E475" s="44"/>
      <c r="F475" s="44"/>
      <c r="G475" s="44"/>
    </row>
    <row r="476" spans="4:7">
      <c r="D476" s="44"/>
      <c r="E476" s="44"/>
      <c r="F476" s="44"/>
      <c r="G476" s="44"/>
    </row>
    <row r="477" spans="4:7">
      <c r="D477" s="44"/>
      <c r="E477" s="44"/>
      <c r="F477" s="44"/>
      <c r="G477" s="44"/>
    </row>
    <row r="478" spans="4:7">
      <c r="D478" s="44"/>
      <c r="E478" s="44"/>
      <c r="F478" s="44"/>
      <c r="G478" s="44"/>
    </row>
    <row r="479" spans="4:7">
      <c r="D479" s="44"/>
      <c r="E479" s="44"/>
      <c r="F479" s="44"/>
      <c r="G479" s="44"/>
    </row>
    <row r="480" spans="4:7">
      <c r="D480" s="44"/>
      <c r="E480" s="44"/>
      <c r="F480" s="44"/>
      <c r="G480" s="44"/>
    </row>
    <row r="481" spans="4:7">
      <c r="D481" s="44"/>
      <c r="E481" s="44"/>
      <c r="F481" s="44"/>
      <c r="G481" s="44"/>
    </row>
    <row r="482" spans="4:7">
      <c r="D482" s="44"/>
      <c r="E482" s="44"/>
      <c r="F482" s="44"/>
      <c r="G482" s="44"/>
    </row>
    <row r="483" spans="4:7">
      <c r="D483" s="44"/>
      <c r="E483" s="44"/>
      <c r="F483" s="44"/>
      <c r="G483" s="44"/>
    </row>
    <row r="484" spans="4:7">
      <c r="D484" s="44"/>
      <c r="E484" s="44"/>
      <c r="F484" s="44"/>
      <c r="G484" s="44"/>
    </row>
    <row r="485" spans="4:7">
      <c r="D485" s="44"/>
      <c r="E485" s="44"/>
      <c r="F485" s="44"/>
      <c r="G485" s="44"/>
    </row>
    <row r="486" spans="4:7">
      <c r="D486" s="44"/>
      <c r="E486" s="44"/>
      <c r="F486" s="44"/>
      <c r="G486" s="44"/>
    </row>
    <row r="487" spans="4:7">
      <c r="D487" s="44"/>
      <c r="E487" s="44"/>
      <c r="F487" s="44"/>
      <c r="G487" s="44"/>
    </row>
    <row r="488" spans="4:7">
      <c r="D488" s="44"/>
      <c r="E488" s="44"/>
      <c r="F488" s="44"/>
      <c r="G488" s="44"/>
    </row>
    <row r="489" spans="4:7">
      <c r="D489" s="44"/>
      <c r="E489" s="44"/>
      <c r="F489" s="44"/>
      <c r="G489" s="44"/>
    </row>
    <row r="490" spans="4:7">
      <c r="D490" s="44"/>
      <c r="E490" s="44"/>
      <c r="F490" s="44"/>
      <c r="G490" s="44"/>
    </row>
    <row r="491" spans="4:7">
      <c r="D491" s="44"/>
      <c r="E491" s="44"/>
      <c r="F491" s="44"/>
      <c r="G491" s="44"/>
    </row>
    <row r="492" spans="4:7">
      <c r="D492" s="44"/>
      <c r="E492" s="44"/>
      <c r="F492" s="44"/>
      <c r="G492" s="44"/>
    </row>
    <row r="493" spans="4:7">
      <c r="D493" s="44"/>
      <c r="E493" s="44"/>
      <c r="F493" s="44"/>
      <c r="G493" s="44"/>
    </row>
    <row r="494" spans="4:7">
      <c r="D494" s="44"/>
      <c r="E494" s="44"/>
      <c r="F494" s="44"/>
      <c r="G494" s="44"/>
    </row>
    <row r="495" spans="4:7">
      <c r="D495" s="44"/>
      <c r="E495" s="44"/>
      <c r="F495" s="44"/>
      <c r="G495" s="44"/>
    </row>
    <row r="496" spans="4:7">
      <c r="D496" s="44"/>
      <c r="E496" s="44"/>
      <c r="F496" s="44"/>
      <c r="G496" s="44"/>
    </row>
    <row r="497" spans="4:7">
      <c r="D497" s="44"/>
      <c r="E497" s="44"/>
      <c r="F497" s="44"/>
      <c r="G497" s="44"/>
    </row>
    <row r="498" spans="4:7">
      <c r="D498" s="44"/>
      <c r="E498" s="44"/>
      <c r="F498" s="44"/>
      <c r="G498" s="44"/>
    </row>
    <row r="499" spans="4:7">
      <c r="D499" s="44"/>
      <c r="E499" s="44"/>
      <c r="F499" s="44"/>
      <c r="G499" s="44"/>
    </row>
    <row r="500" spans="4:7">
      <c r="D500" s="44"/>
      <c r="E500" s="44"/>
      <c r="F500" s="44"/>
      <c r="G500" s="44"/>
    </row>
    <row r="501" spans="4:7">
      <c r="D501" s="44"/>
      <c r="E501" s="44"/>
      <c r="F501" s="44"/>
      <c r="G501" s="44"/>
    </row>
    <row r="502" spans="4:7">
      <c r="D502" s="44"/>
      <c r="E502" s="44"/>
      <c r="F502" s="44"/>
      <c r="G502" s="44"/>
    </row>
    <row r="503" spans="4:7">
      <c r="D503" s="44"/>
      <c r="E503" s="44"/>
      <c r="F503" s="44"/>
      <c r="G503" s="44"/>
    </row>
    <row r="504" spans="4:7">
      <c r="D504" s="44"/>
      <c r="E504" s="44"/>
      <c r="F504" s="44"/>
      <c r="G504" s="44"/>
    </row>
    <row r="505" spans="4:7">
      <c r="D505" s="44"/>
      <c r="E505" s="44"/>
      <c r="F505" s="44"/>
      <c r="G505" s="44"/>
    </row>
    <row r="506" spans="4:7">
      <c r="D506" s="44"/>
      <c r="E506" s="44"/>
      <c r="F506" s="44"/>
      <c r="G506" s="44"/>
    </row>
    <row r="507" spans="4:7">
      <c r="D507" s="44"/>
      <c r="E507" s="44"/>
      <c r="F507" s="44"/>
      <c r="G507" s="44"/>
    </row>
    <row r="508" spans="4:7">
      <c r="D508" s="44"/>
      <c r="E508" s="44"/>
      <c r="F508" s="44"/>
      <c r="G508" s="44"/>
    </row>
    <row r="509" spans="4:7">
      <c r="D509" s="44"/>
      <c r="E509" s="44"/>
      <c r="F509" s="44"/>
      <c r="G509" s="44"/>
    </row>
    <row r="510" spans="4:7">
      <c r="D510" s="44"/>
      <c r="E510" s="44"/>
      <c r="F510" s="44"/>
      <c r="G510" s="44"/>
    </row>
    <row r="511" spans="4:7">
      <c r="D511" s="44"/>
      <c r="E511" s="44"/>
      <c r="F511" s="44"/>
      <c r="G511" s="44"/>
    </row>
    <row r="512" spans="4:7">
      <c r="D512" s="44"/>
      <c r="E512" s="44"/>
      <c r="F512" s="44"/>
      <c r="G512" s="44"/>
    </row>
    <row r="513" spans="4:7">
      <c r="D513" s="44"/>
      <c r="E513" s="44"/>
      <c r="F513" s="44"/>
      <c r="G513" s="44"/>
    </row>
    <row r="514" spans="4:7">
      <c r="D514" s="44"/>
      <c r="E514" s="44"/>
      <c r="F514" s="44"/>
      <c r="G514" s="44"/>
    </row>
    <row r="515" spans="4:7">
      <c r="D515" s="44"/>
      <c r="E515" s="44"/>
      <c r="F515" s="44"/>
      <c r="G515" s="44"/>
    </row>
    <row r="516" spans="4:7">
      <c r="D516" s="44"/>
      <c r="E516" s="44"/>
      <c r="F516" s="44"/>
      <c r="G516" s="44"/>
    </row>
    <row r="517" spans="4:7">
      <c r="D517" s="44"/>
      <c r="E517" s="44"/>
      <c r="F517" s="44"/>
      <c r="G517" s="44"/>
    </row>
    <row r="518" spans="4:7">
      <c r="D518" s="44"/>
      <c r="E518" s="44"/>
      <c r="F518" s="44"/>
      <c r="G518" s="44"/>
    </row>
    <row r="519" spans="4:7">
      <c r="D519" s="44"/>
      <c r="E519" s="44"/>
      <c r="F519" s="44"/>
      <c r="G519" s="44"/>
    </row>
    <row r="520" spans="4:7">
      <c r="D520" s="44"/>
      <c r="E520" s="44"/>
      <c r="F520" s="44"/>
      <c r="G520" s="44"/>
    </row>
    <row r="521" spans="4:7">
      <c r="D521" s="44"/>
      <c r="E521" s="44"/>
      <c r="F521" s="44"/>
      <c r="G521" s="44"/>
    </row>
    <row r="522" spans="4:7">
      <c r="D522" s="44"/>
      <c r="E522" s="44"/>
      <c r="F522" s="44"/>
      <c r="G522" s="44"/>
    </row>
    <row r="523" spans="4:7">
      <c r="D523" s="44"/>
      <c r="E523" s="44"/>
      <c r="F523" s="44"/>
      <c r="G523" s="44"/>
    </row>
    <row r="524" spans="4:7">
      <c r="D524" s="44"/>
      <c r="E524" s="44"/>
      <c r="F524" s="44"/>
      <c r="G524" s="44"/>
    </row>
    <row r="525" spans="4:7">
      <c r="D525" s="44"/>
      <c r="E525" s="44"/>
      <c r="F525" s="44"/>
      <c r="G525" s="44"/>
    </row>
    <row r="526" spans="4:7">
      <c r="D526" s="44"/>
      <c r="E526" s="44"/>
      <c r="F526" s="44"/>
      <c r="G526" s="44"/>
    </row>
    <row r="527" spans="4:7">
      <c r="D527" s="44"/>
      <c r="E527" s="44"/>
      <c r="F527" s="44"/>
      <c r="G527" s="44"/>
    </row>
    <row r="528" spans="4:7">
      <c r="D528" s="44"/>
      <c r="E528" s="44"/>
      <c r="F528" s="44"/>
      <c r="G528" s="44"/>
    </row>
    <row r="529" spans="4:7">
      <c r="D529" s="44"/>
      <c r="E529" s="44"/>
      <c r="F529" s="44"/>
      <c r="G529" s="44"/>
    </row>
    <row r="530" spans="4:7">
      <c r="D530" s="44"/>
      <c r="E530" s="44"/>
      <c r="F530" s="44"/>
      <c r="G530" s="44"/>
    </row>
    <row r="531" spans="4:7">
      <c r="D531" s="44"/>
      <c r="E531" s="44"/>
      <c r="F531" s="44"/>
      <c r="G531" s="44"/>
    </row>
    <row r="532" spans="4:7">
      <c r="D532" s="44"/>
      <c r="E532" s="44"/>
      <c r="F532" s="44"/>
      <c r="G532" s="44"/>
    </row>
    <row r="533" spans="4:7">
      <c r="D533" s="44"/>
      <c r="E533" s="44"/>
      <c r="F533" s="44"/>
      <c r="G533" s="44"/>
    </row>
    <row r="534" spans="4:7">
      <c r="D534" s="44"/>
      <c r="E534" s="44"/>
      <c r="F534" s="44"/>
      <c r="G534" s="44"/>
    </row>
    <row r="535" spans="4:7">
      <c r="D535" s="44"/>
      <c r="E535" s="44"/>
      <c r="F535" s="44"/>
      <c r="G535" s="44"/>
    </row>
    <row r="536" spans="4:7">
      <c r="D536" s="44"/>
      <c r="E536" s="44"/>
      <c r="F536" s="44"/>
      <c r="G536" s="44"/>
    </row>
    <row r="537" spans="4:7">
      <c r="D537" s="44"/>
      <c r="E537" s="44"/>
      <c r="F537" s="44"/>
      <c r="G537" s="44"/>
    </row>
    <row r="538" spans="4:7">
      <c r="D538" s="44"/>
      <c r="E538" s="44"/>
      <c r="F538" s="44"/>
      <c r="G538" s="44"/>
    </row>
    <row r="539" spans="4:7">
      <c r="D539" s="44"/>
      <c r="E539" s="44"/>
      <c r="F539" s="44"/>
      <c r="G539" s="44"/>
    </row>
    <row r="540" spans="4:7">
      <c r="D540" s="44"/>
      <c r="E540" s="44"/>
      <c r="F540" s="44"/>
      <c r="G540" s="44"/>
    </row>
    <row r="541" spans="4:7">
      <c r="D541" s="44"/>
      <c r="E541" s="44"/>
      <c r="F541" s="44"/>
      <c r="G541" s="44"/>
    </row>
    <row r="542" spans="4:7">
      <c r="D542" s="44"/>
      <c r="E542" s="44"/>
      <c r="F542" s="44"/>
      <c r="G542" s="44"/>
    </row>
    <row r="543" spans="4:7">
      <c r="D543" s="44"/>
      <c r="E543" s="44"/>
      <c r="F543" s="44"/>
      <c r="G543" s="44"/>
    </row>
    <row r="544" spans="4:7">
      <c r="D544" s="44"/>
      <c r="E544" s="44"/>
      <c r="F544" s="44"/>
      <c r="G544" s="44"/>
    </row>
    <row r="545" spans="4:7">
      <c r="D545" s="44"/>
      <c r="E545" s="44"/>
      <c r="F545" s="44"/>
      <c r="G545" s="44"/>
    </row>
    <row r="546" spans="4:7">
      <c r="D546" s="44"/>
      <c r="E546" s="44"/>
      <c r="F546" s="44"/>
      <c r="G546" s="44"/>
    </row>
    <row r="547" spans="4:7">
      <c r="D547" s="44"/>
      <c r="E547" s="44"/>
      <c r="F547" s="44"/>
      <c r="G547" s="44"/>
    </row>
    <row r="548" spans="4:7">
      <c r="D548" s="44"/>
      <c r="E548" s="44"/>
      <c r="F548" s="44"/>
      <c r="G548" s="44"/>
    </row>
    <row r="549" spans="4:7">
      <c r="D549" s="44"/>
      <c r="E549" s="44"/>
      <c r="F549" s="44"/>
      <c r="G549" s="44"/>
    </row>
    <row r="550" spans="4:7">
      <c r="D550" s="44"/>
      <c r="E550" s="44"/>
      <c r="F550" s="44"/>
      <c r="G550" s="44"/>
    </row>
    <row r="551" spans="4:7">
      <c r="D551" s="44"/>
      <c r="E551" s="44"/>
      <c r="F551" s="44"/>
      <c r="G551" s="44"/>
    </row>
    <row r="552" spans="4:7">
      <c r="D552" s="44"/>
      <c r="E552" s="44"/>
      <c r="F552" s="44"/>
      <c r="G552" s="44"/>
    </row>
    <row r="553" spans="4:7">
      <c r="D553" s="44"/>
      <c r="E553" s="44"/>
      <c r="F553" s="44"/>
      <c r="G553" s="44"/>
    </row>
    <row r="554" spans="4:7">
      <c r="D554" s="44"/>
      <c r="E554" s="44"/>
      <c r="F554" s="44"/>
      <c r="G554" s="44"/>
    </row>
    <row r="555" spans="4:7">
      <c r="D555" s="44"/>
      <c r="E555" s="44"/>
      <c r="F555" s="44"/>
      <c r="G555" s="44"/>
    </row>
    <row r="556" spans="4:7">
      <c r="D556" s="44"/>
      <c r="E556" s="44"/>
      <c r="F556" s="44"/>
      <c r="G556" s="44"/>
    </row>
    <row r="557" spans="4:7">
      <c r="D557" s="44"/>
      <c r="E557" s="44"/>
      <c r="F557" s="44"/>
      <c r="G557" s="44"/>
    </row>
    <row r="558" spans="4:7">
      <c r="D558" s="44"/>
      <c r="E558" s="44"/>
      <c r="F558" s="44"/>
      <c r="G558" s="44"/>
    </row>
    <row r="559" spans="4:7">
      <c r="D559" s="44"/>
      <c r="E559" s="44"/>
      <c r="F559" s="44"/>
      <c r="G559" s="44"/>
    </row>
    <row r="560" spans="4:7">
      <c r="D560" s="44"/>
      <c r="E560" s="44"/>
      <c r="F560" s="44"/>
      <c r="G560" s="44"/>
    </row>
    <row r="561" spans="4:7">
      <c r="D561" s="44"/>
      <c r="E561" s="44"/>
      <c r="F561" s="44"/>
      <c r="G561" s="44"/>
    </row>
    <row r="562" spans="4:7">
      <c r="D562" s="44"/>
      <c r="E562" s="44"/>
      <c r="F562" s="44"/>
      <c r="G562" s="44"/>
    </row>
    <row r="563" spans="4:7">
      <c r="D563" s="44"/>
      <c r="E563" s="44"/>
      <c r="F563" s="44"/>
      <c r="G563" s="44"/>
    </row>
    <row r="564" spans="4:7">
      <c r="D564" s="44"/>
      <c r="E564" s="44"/>
      <c r="F564" s="44"/>
      <c r="G564" s="44"/>
    </row>
    <row r="565" spans="4:7">
      <c r="D565" s="44"/>
      <c r="E565" s="44"/>
      <c r="F565" s="44"/>
      <c r="G565" s="44"/>
    </row>
    <row r="566" spans="4:7">
      <c r="D566" s="44"/>
      <c r="E566" s="44"/>
      <c r="F566" s="44"/>
      <c r="G566" s="44"/>
    </row>
    <row r="567" spans="4:7">
      <c r="D567" s="44"/>
      <c r="E567" s="44"/>
      <c r="F567" s="44"/>
      <c r="G567" s="44"/>
    </row>
    <row r="568" spans="4:7">
      <c r="D568" s="44"/>
      <c r="E568" s="44"/>
      <c r="F568" s="44"/>
      <c r="G568" s="44"/>
    </row>
    <row r="569" spans="4:7">
      <c r="D569" s="44"/>
      <c r="E569" s="44"/>
      <c r="F569" s="44"/>
      <c r="G569" s="44"/>
    </row>
    <row r="570" spans="4:7">
      <c r="D570" s="44"/>
      <c r="E570" s="44"/>
      <c r="F570" s="44"/>
      <c r="G570" s="44"/>
    </row>
    <row r="571" spans="4:7">
      <c r="D571" s="44"/>
      <c r="E571" s="44"/>
      <c r="F571" s="44"/>
      <c r="G571" s="44"/>
    </row>
    <row r="572" spans="4:7">
      <c r="D572" s="44"/>
      <c r="E572" s="44"/>
      <c r="F572" s="44"/>
      <c r="G572" s="44"/>
    </row>
    <row r="573" spans="4:7">
      <c r="D573" s="44"/>
      <c r="E573" s="44"/>
      <c r="F573" s="44"/>
      <c r="G573" s="44"/>
    </row>
    <row r="574" spans="4:7">
      <c r="D574" s="44"/>
      <c r="E574" s="44"/>
      <c r="F574" s="44"/>
      <c r="G574" s="44"/>
    </row>
    <row r="575" spans="4:7">
      <c r="D575" s="44"/>
      <c r="E575" s="44"/>
      <c r="F575" s="44"/>
      <c r="G575" s="44"/>
    </row>
    <row r="576" spans="4:7">
      <c r="D576" s="44"/>
      <c r="E576" s="44"/>
      <c r="F576" s="44"/>
      <c r="G576" s="44"/>
    </row>
    <row r="577" spans="4:7">
      <c r="D577" s="44"/>
      <c r="E577" s="44"/>
      <c r="F577" s="44"/>
      <c r="G577" s="44"/>
    </row>
    <row r="578" spans="4:7">
      <c r="D578" s="44"/>
      <c r="E578" s="44"/>
      <c r="F578" s="44"/>
      <c r="G578" s="44"/>
    </row>
    <row r="579" spans="4:7">
      <c r="D579" s="44"/>
      <c r="E579" s="44"/>
      <c r="F579" s="44"/>
      <c r="G579" s="44"/>
    </row>
    <row r="580" spans="4:7">
      <c r="D580" s="44"/>
      <c r="E580" s="44"/>
      <c r="F580" s="44"/>
      <c r="G580" s="44"/>
    </row>
    <row r="581" spans="4:7">
      <c r="D581" s="44"/>
      <c r="E581" s="44"/>
      <c r="F581" s="44"/>
      <c r="G581" s="44"/>
    </row>
    <row r="582" spans="4:7">
      <c r="D582" s="44"/>
      <c r="E582" s="44"/>
      <c r="F582" s="44"/>
      <c r="G582" s="44"/>
    </row>
    <row r="583" spans="4:7">
      <c r="D583" s="44"/>
      <c r="E583" s="44"/>
      <c r="F583" s="44"/>
      <c r="G583" s="44"/>
    </row>
    <row r="584" spans="4:7">
      <c r="D584" s="44"/>
      <c r="E584" s="44"/>
      <c r="F584" s="44"/>
      <c r="G584" s="44"/>
    </row>
    <row r="585" spans="4:7">
      <c r="D585" s="44"/>
      <c r="E585" s="44"/>
      <c r="F585" s="44"/>
      <c r="G585" s="44"/>
    </row>
    <row r="586" spans="4:7">
      <c r="D586" s="44"/>
      <c r="E586" s="44"/>
      <c r="F586" s="44"/>
      <c r="G586" s="44"/>
    </row>
    <row r="587" spans="4:7">
      <c r="D587" s="44"/>
      <c r="E587" s="44"/>
      <c r="F587" s="44"/>
      <c r="G587" s="44"/>
    </row>
    <row r="588" spans="4:7">
      <c r="D588" s="44"/>
      <c r="E588" s="44"/>
      <c r="F588" s="44"/>
      <c r="G588" s="44"/>
    </row>
    <row r="589" spans="4:7">
      <c r="D589" s="44"/>
      <c r="E589" s="44"/>
      <c r="F589" s="44"/>
      <c r="G589" s="44"/>
    </row>
    <row r="590" spans="4:7">
      <c r="D590" s="44"/>
      <c r="E590" s="44"/>
      <c r="F590" s="44"/>
      <c r="G590" s="44"/>
    </row>
    <row r="591" spans="4:7">
      <c r="D591" s="44"/>
      <c r="E591" s="44"/>
      <c r="F591" s="44"/>
      <c r="G591" s="44"/>
    </row>
    <row r="592" spans="4:7">
      <c r="D592" s="44"/>
      <c r="E592" s="44"/>
      <c r="F592" s="44"/>
      <c r="G592" s="44"/>
    </row>
    <row r="593" spans="4:7">
      <c r="D593" s="44"/>
      <c r="E593" s="44"/>
      <c r="F593" s="44"/>
      <c r="G593" s="44"/>
    </row>
    <row r="594" spans="4:7">
      <c r="D594" s="44"/>
      <c r="E594" s="44"/>
      <c r="F594" s="44"/>
      <c r="G594" s="44"/>
    </row>
    <row r="595" spans="4:7">
      <c r="D595" s="44"/>
      <c r="E595" s="44"/>
      <c r="F595" s="44"/>
      <c r="G595" s="44"/>
    </row>
    <row r="596" spans="4:7">
      <c r="D596" s="44"/>
      <c r="E596" s="44"/>
      <c r="F596" s="44"/>
      <c r="G596" s="44"/>
    </row>
    <row r="597" spans="4:7">
      <c r="D597" s="44"/>
      <c r="E597" s="44"/>
      <c r="F597" s="44"/>
      <c r="G597" s="44"/>
    </row>
    <row r="598" spans="4:7">
      <c r="D598" s="44"/>
      <c r="E598" s="44"/>
      <c r="F598" s="44"/>
      <c r="G598" s="44"/>
    </row>
    <row r="599" spans="4:7">
      <c r="D599" s="44"/>
      <c r="E599" s="44"/>
      <c r="F599" s="44"/>
      <c r="G599" s="44"/>
    </row>
    <row r="600" spans="4:7">
      <c r="D600" s="44"/>
      <c r="E600" s="44"/>
      <c r="F600" s="44"/>
      <c r="G600" s="44"/>
    </row>
    <row r="601" spans="4:7">
      <c r="D601" s="44"/>
      <c r="E601" s="44"/>
      <c r="F601" s="44"/>
      <c r="G601" s="44"/>
    </row>
    <row r="602" spans="4:7">
      <c r="D602" s="44"/>
      <c r="E602" s="44"/>
      <c r="F602" s="44"/>
      <c r="G602" s="44"/>
    </row>
    <row r="603" spans="4:7">
      <c r="D603" s="44"/>
      <c r="E603" s="44"/>
      <c r="F603" s="44"/>
      <c r="G603" s="44"/>
    </row>
    <row r="604" spans="4:7">
      <c r="D604" s="44"/>
      <c r="E604" s="44"/>
      <c r="F604" s="44"/>
      <c r="G604" s="44"/>
    </row>
    <row r="605" spans="4:7">
      <c r="D605" s="44"/>
      <c r="E605" s="44"/>
      <c r="F605" s="44"/>
      <c r="G605" s="44"/>
    </row>
    <row r="606" spans="4:7">
      <c r="D606" s="44"/>
      <c r="E606" s="44"/>
      <c r="F606" s="44"/>
      <c r="G606" s="44"/>
    </row>
    <row r="607" spans="4:7">
      <c r="D607" s="44"/>
      <c r="E607" s="44"/>
      <c r="F607" s="44"/>
      <c r="G607" s="44"/>
    </row>
    <row r="608" spans="4:7">
      <c r="D608" s="44"/>
      <c r="E608" s="44"/>
      <c r="F608" s="44"/>
      <c r="G608" s="44"/>
    </row>
    <row r="609" spans="4:7">
      <c r="D609" s="44"/>
      <c r="E609" s="44"/>
      <c r="F609" s="44"/>
      <c r="G609" s="44"/>
    </row>
    <row r="610" spans="4:7">
      <c r="D610" s="44"/>
      <c r="E610" s="44"/>
      <c r="F610" s="44"/>
      <c r="G610" s="44"/>
    </row>
    <row r="611" spans="4:7">
      <c r="D611" s="44"/>
      <c r="E611" s="44"/>
      <c r="F611" s="44"/>
      <c r="G611" s="44"/>
    </row>
    <row r="612" spans="4:7">
      <c r="D612" s="44"/>
      <c r="E612" s="44"/>
      <c r="F612" s="44"/>
      <c r="G612" s="44"/>
    </row>
    <row r="613" spans="4:7">
      <c r="D613" s="44"/>
      <c r="E613" s="44"/>
      <c r="F613" s="44"/>
      <c r="G613" s="44"/>
    </row>
    <row r="614" spans="4:7">
      <c r="D614" s="44"/>
      <c r="E614" s="44"/>
      <c r="F614" s="44"/>
      <c r="G614" s="44"/>
    </row>
    <row r="615" spans="4:7">
      <c r="D615" s="44"/>
      <c r="E615" s="44"/>
      <c r="F615" s="44"/>
      <c r="G615" s="44"/>
    </row>
    <row r="616" spans="4:7">
      <c r="D616" s="44"/>
      <c r="E616" s="44"/>
      <c r="F616" s="44"/>
      <c r="G616" s="44"/>
    </row>
    <row r="617" spans="4:7">
      <c r="D617" s="44"/>
      <c r="E617" s="44"/>
      <c r="F617" s="44"/>
      <c r="G617" s="44"/>
    </row>
    <row r="618" spans="4:7">
      <c r="D618" s="44"/>
      <c r="E618" s="44"/>
      <c r="F618" s="44"/>
      <c r="G618" s="44"/>
    </row>
    <row r="619" spans="4:7">
      <c r="D619" s="44"/>
      <c r="E619" s="44"/>
      <c r="F619" s="44"/>
      <c r="G619" s="44"/>
    </row>
    <row r="620" spans="4:7">
      <c r="D620" s="44"/>
      <c r="E620" s="44"/>
      <c r="F620" s="44"/>
      <c r="G620" s="44"/>
    </row>
    <row r="621" spans="4:7">
      <c r="D621" s="44"/>
      <c r="E621" s="44"/>
      <c r="F621" s="44"/>
      <c r="G621" s="44"/>
    </row>
    <row r="622" spans="4:7">
      <c r="D622" s="44"/>
      <c r="E622" s="44"/>
      <c r="F622" s="44"/>
      <c r="G622" s="44"/>
    </row>
    <row r="623" spans="4:7">
      <c r="D623" s="44"/>
      <c r="E623" s="44"/>
      <c r="F623" s="44"/>
      <c r="G623" s="44"/>
    </row>
    <row r="624" spans="4:7">
      <c r="D624" s="44"/>
      <c r="E624" s="44"/>
      <c r="F624" s="44"/>
      <c r="G624" s="44"/>
    </row>
    <row r="625" spans="4:7">
      <c r="D625" s="44"/>
      <c r="E625" s="44"/>
      <c r="F625" s="44"/>
      <c r="G625" s="44"/>
    </row>
    <row r="626" spans="4:7">
      <c r="D626" s="44"/>
      <c r="E626" s="44"/>
      <c r="F626" s="44"/>
      <c r="G626" s="44"/>
    </row>
    <row r="627" spans="4:7">
      <c r="D627" s="44"/>
      <c r="E627" s="44"/>
      <c r="F627" s="44"/>
      <c r="G627" s="44"/>
    </row>
    <row r="628" spans="4:7">
      <c r="D628" s="44"/>
      <c r="E628" s="44"/>
      <c r="F628" s="44"/>
      <c r="G628" s="44"/>
    </row>
    <row r="629" spans="4:7">
      <c r="D629" s="44"/>
      <c r="E629" s="44"/>
      <c r="F629" s="44"/>
      <c r="G629" s="44"/>
    </row>
    <row r="630" spans="4:7">
      <c r="D630" s="44"/>
      <c r="E630" s="44"/>
      <c r="F630" s="44"/>
      <c r="G630" s="44"/>
    </row>
    <row r="631" spans="4:7">
      <c r="D631" s="44"/>
      <c r="E631" s="44"/>
      <c r="F631" s="44"/>
      <c r="G631" s="44"/>
    </row>
    <row r="632" spans="4:7">
      <c r="D632" s="44"/>
      <c r="E632" s="44"/>
      <c r="F632" s="44"/>
      <c r="G632" s="44"/>
    </row>
    <row r="633" spans="4:7">
      <c r="D633" s="44"/>
      <c r="E633" s="44"/>
      <c r="F633" s="44"/>
      <c r="G633" s="44"/>
    </row>
    <row r="634" spans="4:7">
      <c r="D634" s="44"/>
      <c r="E634" s="44"/>
      <c r="F634" s="44"/>
      <c r="G634" s="44"/>
    </row>
    <row r="635" spans="4:7">
      <c r="D635" s="44"/>
      <c r="E635" s="44"/>
      <c r="F635" s="44"/>
      <c r="G635" s="44"/>
    </row>
    <row r="636" spans="4:7">
      <c r="D636" s="44"/>
      <c r="E636" s="44"/>
      <c r="F636" s="44"/>
      <c r="G636" s="44"/>
    </row>
    <row r="637" spans="4:7">
      <c r="D637" s="44"/>
      <c r="E637" s="44"/>
      <c r="F637" s="44"/>
      <c r="G637" s="44"/>
    </row>
    <row r="638" spans="4:7">
      <c r="D638" s="44"/>
      <c r="E638" s="44"/>
      <c r="F638" s="44"/>
      <c r="G638" s="44"/>
    </row>
    <row r="639" spans="4:7">
      <c r="D639" s="44"/>
      <c r="E639" s="44"/>
      <c r="F639" s="44"/>
      <c r="G639" s="44"/>
    </row>
    <row r="640" spans="4:7">
      <c r="D640" s="44"/>
      <c r="E640" s="44"/>
      <c r="F640" s="44"/>
      <c r="G640" s="44"/>
    </row>
    <row r="641" spans="4:7">
      <c r="D641" s="44"/>
      <c r="E641" s="44"/>
      <c r="F641" s="44"/>
      <c r="G641" s="44"/>
    </row>
    <row r="642" spans="4:7">
      <c r="D642" s="44"/>
      <c r="E642" s="44"/>
      <c r="F642" s="44"/>
      <c r="G642" s="44"/>
    </row>
    <row r="643" spans="4:7">
      <c r="D643" s="44"/>
      <c r="E643" s="44"/>
      <c r="F643" s="44"/>
      <c r="G643" s="44"/>
    </row>
    <row r="644" spans="4:7">
      <c r="D644" s="44"/>
      <c r="E644" s="44"/>
      <c r="F644" s="44"/>
      <c r="G644" s="44"/>
    </row>
    <row r="645" spans="4:7">
      <c r="D645" s="44"/>
      <c r="E645" s="44"/>
      <c r="F645" s="44"/>
      <c r="G645" s="44"/>
    </row>
    <row r="646" spans="4:7">
      <c r="D646" s="44"/>
      <c r="E646" s="44"/>
      <c r="F646" s="44"/>
      <c r="G646" s="44"/>
    </row>
    <row r="647" spans="4:7">
      <c r="D647" s="44"/>
      <c r="E647" s="44"/>
      <c r="F647" s="44"/>
      <c r="G647" s="44"/>
    </row>
    <row r="648" spans="4:7">
      <c r="D648" s="44"/>
      <c r="E648" s="44"/>
      <c r="F648" s="44"/>
      <c r="G648" s="44"/>
    </row>
    <row r="649" spans="4:7">
      <c r="D649" s="44"/>
      <c r="E649" s="44"/>
      <c r="F649" s="44"/>
      <c r="G649" s="44"/>
    </row>
    <row r="650" spans="4:7">
      <c r="D650" s="44"/>
      <c r="E650" s="44"/>
      <c r="F650" s="44"/>
      <c r="G650" s="44"/>
    </row>
    <row r="651" spans="4:7">
      <c r="D651" s="44"/>
      <c r="E651" s="44"/>
      <c r="F651" s="44"/>
      <c r="G651" s="44"/>
    </row>
    <row r="652" spans="4:7">
      <c r="D652" s="44"/>
      <c r="E652" s="44"/>
      <c r="F652" s="44"/>
      <c r="G652" s="44"/>
    </row>
    <row r="653" spans="4:7">
      <c r="D653" s="44"/>
      <c r="E653" s="44"/>
      <c r="F653" s="44"/>
      <c r="G653" s="44"/>
    </row>
    <row r="654" spans="4:7">
      <c r="D654" s="44"/>
      <c r="E654" s="44"/>
      <c r="F654" s="44"/>
      <c r="G654" s="44"/>
    </row>
    <row r="655" spans="4:7">
      <c r="D655" s="44"/>
      <c r="E655" s="44"/>
      <c r="F655" s="44"/>
      <c r="G655" s="44"/>
    </row>
    <row r="656" spans="4:7">
      <c r="D656" s="44"/>
      <c r="E656" s="44"/>
      <c r="F656" s="44"/>
      <c r="G656" s="44"/>
    </row>
    <row r="657" spans="4:7">
      <c r="D657" s="44"/>
      <c r="E657" s="44"/>
      <c r="F657" s="44"/>
      <c r="G657" s="44"/>
    </row>
    <row r="658" spans="4:7">
      <c r="D658" s="44"/>
      <c r="E658" s="44"/>
      <c r="F658" s="44"/>
      <c r="G658" s="44"/>
    </row>
    <row r="659" spans="4:7">
      <c r="D659" s="44"/>
      <c r="E659" s="44"/>
      <c r="F659" s="44"/>
      <c r="G659" s="44"/>
    </row>
    <row r="660" spans="4:7">
      <c r="D660" s="44"/>
      <c r="E660" s="44"/>
      <c r="F660" s="44"/>
      <c r="G660" s="44"/>
    </row>
    <row r="661" spans="4:7">
      <c r="D661" s="44"/>
      <c r="E661" s="44"/>
      <c r="F661" s="44"/>
      <c r="G661" s="44"/>
    </row>
    <row r="662" spans="4:7">
      <c r="D662" s="44"/>
      <c r="E662" s="44"/>
      <c r="F662" s="44"/>
      <c r="G662" s="44"/>
    </row>
    <row r="663" spans="4:7">
      <c r="D663" s="44"/>
      <c r="E663" s="44"/>
      <c r="F663" s="44"/>
      <c r="G663" s="44"/>
    </row>
    <row r="664" spans="4:7">
      <c r="D664" s="44"/>
      <c r="E664" s="44"/>
      <c r="F664" s="44"/>
      <c r="G664" s="44"/>
    </row>
    <row r="665" spans="4:7">
      <c r="D665" s="44"/>
      <c r="E665" s="44"/>
      <c r="F665" s="44"/>
      <c r="G665" s="44"/>
    </row>
    <row r="666" spans="4:7">
      <c r="D666" s="44"/>
      <c r="E666" s="44"/>
      <c r="F666" s="44"/>
      <c r="G666" s="44"/>
    </row>
    <row r="667" spans="4:7">
      <c r="D667" s="44"/>
      <c r="E667" s="44"/>
      <c r="F667" s="44"/>
      <c r="G667" s="44"/>
    </row>
    <row r="668" spans="4:7">
      <c r="D668" s="44"/>
      <c r="E668" s="44"/>
      <c r="F668" s="44"/>
      <c r="G668" s="44"/>
    </row>
    <row r="669" spans="4:7">
      <c r="D669" s="44"/>
      <c r="E669" s="44"/>
      <c r="F669" s="44"/>
      <c r="G669" s="44"/>
    </row>
    <row r="670" spans="4:7">
      <c r="D670" s="44"/>
      <c r="E670" s="44"/>
      <c r="F670" s="44"/>
      <c r="G670" s="44"/>
    </row>
    <row r="671" spans="4:7">
      <c r="D671" s="44"/>
      <c r="E671" s="44"/>
      <c r="F671" s="44"/>
      <c r="G671" s="44"/>
    </row>
    <row r="672" spans="4:7">
      <c r="D672" s="44"/>
      <c r="E672" s="44"/>
      <c r="F672" s="44"/>
      <c r="G672" s="44"/>
    </row>
    <row r="673" spans="4:7">
      <c r="D673" s="44"/>
      <c r="E673" s="44"/>
      <c r="F673" s="44"/>
      <c r="G673" s="44"/>
    </row>
    <row r="674" spans="4:7">
      <c r="D674" s="44"/>
      <c r="E674" s="44"/>
      <c r="F674" s="44"/>
      <c r="G674" s="44"/>
    </row>
    <row r="675" spans="4:7">
      <c r="D675" s="44"/>
      <c r="E675" s="44"/>
      <c r="F675" s="44"/>
      <c r="G675" s="44"/>
    </row>
    <row r="676" spans="4:7">
      <c r="D676" s="44"/>
      <c r="E676" s="44"/>
      <c r="F676" s="44"/>
      <c r="G676" s="44"/>
    </row>
    <row r="677" spans="4:7">
      <c r="D677" s="44"/>
      <c r="E677" s="44"/>
      <c r="F677" s="44"/>
      <c r="G677" s="44"/>
    </row>
    <row r="678" spans="4:7">
      <c r="D678" s="44"/>
      <c r="E678" s="44"/>
      <c r="F678" s="44"/>
      <c r="G678" s="44"/>
    </row>
    <row r="679" spans="4:7">
      <c r="D679" s="44"/>
      <c r="E679" s="44"/>
      <c r="F679" s="44"/>
      <c r="G679" s="44"/>
    </row>
    <row r="680" spans="4:7">
      <c r="D680" s="44"/>
      <c r="E680" s="44"/>
      <c r="F680" s="44"/>
      <c r="G680" s="44"/>
    </row>
    <row r="681" spans="4:7">
      <c r="D681" s="44"/>
      <c r="E681" s="44"/>
      <c r="F681" s="44"/>
      <c r="G681" s="44"/>
    </row>
    <row r="682" spans="4:7">
      <c r="D682" s="44"/>
      <c r="E682" s="44"/>
      <c r="F682" s="44"/>
      <c r="G682" s="44"/>
    </row>
    <row r="683" spans="4:7">
      <c r="D683" s="44"/>
      <c r="E683" s="44"/>
      <c r="F683" s="44"/>
      <c r="G683" s="44"/>
    </row>
    <row r="684" spans="4:7">
      <c r="D684" s="44"/>
      <c r="E684" s="44"/>
      <c r="F684" s="44"/>
      <c r="G684" s="44"/>
    </row>
    <row r="685" spans="4:7">
      <c r="D685" s="44"/>
      <c r="E685" s="44"/>
      <c r="F685" s="44"/>
      <c r="G685" s="44"/>
    </row>
    <row r="686" spans="4:7">
      <c r="D686" s="44"/>
      <c r="E686" s="44"/>
      <c r="F686" s="44"/>
      <c r="G686" s="44"/>
    </row>
    <row r="687" spans="4:7">
      <c r="D687" s="44"/>
      <c r="E687" s="44"/>
      <c r="F687" s="44"/>
      <c r="G687" s="44"/>
    </row>
    <row r="688" spans="4:7">
      <c r="D688" s="44"/>
      <c r="E688" s="44"/>
      <c r="F688" s="44"/>
      <c r="G688" s="44"/>
    </row>
    <row r="689" spans="4:7">
      <c r="D689" s="44"/>
      <c r="E689" s="44"/>
      <c r="F689" s="44"/>
      <c r="G689" s="44"/>
    </row>
    <row r="690" spans="4:7">
      <c r="D690" s="44"/>
      <c r="E690" s="44"/>
      <c r="F690" s="44"/>
      <c r="G690" s="44"/>
    </row>
    <row r="691" spans="4:7">
      <c r="D691" s="44"/>
      <c r="E691" s="44"/>
      <c r="F691" s="44"/>
      <c r="G691" s="44"/>
    </row>
    <row r="692" spans="4:7">
      <c r="D692" s="44"/>
      <c r="E692" s="44"/>
      <c r="F692" s="44"/>
      <c r="G692" s="44"/>
    </row>
    <row r="693" spans="4:7">
      <c r="D693" s="44"/>
      <c r="E693" s="44"/>
      <c r="F693" s="44"/>
      <c r="G693" s="44"/>
    </row>
    <row r="694" spans="4:7">
      <c r="D694" s="44"/>
      <c r="E694" s="44"/>
      <c r="F694" s="44"/>
      <c r="G694" s="44"/>
    </row>
    <row r="695" spans="4:7">
      <c r="D695" s="44"/>
      <c r="E695" s="44"/>
      <c r="F695" s="44"/>
      <c r="G695" s="44"/>
    </row>
    <row r="696" spans="4:7">
      <c r="D696" s="44"/>
      <c r="E696" s="44"/>
      <c r="F696" s="44"/>
      <c r="G696" s="44"/>
    </row>
    <row r="697" spans="4:7">
      <c r="D697" s="44"/>
      <c r="E697" s="44"/>
      <c r="F697" s="44"/>
      <c r="G697" s="44"/>
    </row>
    <row r="698" spans="4:7">
      <c r="D698" s="44"/>
      <c r="E698" s="44"/>
      <c r="F698" s="44"/>
      <c r="G698" s="44"/>
    </row>
    <row r="699" spans="4:7">
      <c r="D699" s="44"/>
      <c r="E699" s="44"/>
      <c r="F699" s="44"/>
      <c r="G699" s="44"/>
    </row>
    <row r="700" spans="4:7">
      <c r="D700" s="44"/>
      <c r="E700" s="44"/>
      <c r="F700" s="44"/>
      <c r="G700" s="44"/>
    </row>
    <row r="701" spans="4:7">
      <c r="D701" s="44"/>
      <c r="E701" s="44"/>
      <c r="F701" s="44"/>
      <c r="G701" s="44"/>
    </row>
    <row r="702" spans="4:7">
      <c r="D702" s="44"/>
      <c r="E702" s="44"/>
      <c r="F702" s="44"/>
      <c r="G702" s="44"/>
    </row>
    <row r="703" spans="4:7">
      <c r="D703" s="44"/>
      <c r="E703" s="44"/>
      <c r="F703" s="44"/>
      <c r="G703" s="44"/>
    </row>
    <row r="704" spans="4:7">
      <c r="D704" s="44"/>
      <c r="E704" s="44"/>
      <c r="F704" s="44"/>
      <c r="G704" s="44"/>
    </row>
    <row r="705" spans="4:7">
      <c r="D705" s="44"/>
      <c r="E705" s="44"/>
      <c r="F705" s="44"/>
      <c r="G705" s="44"/>
    </row>
    <row r="706" spans="4:7">
      <c r="D706" s="44"/>
      <c r="E706" s="44"/>
      <c r="F706" s="44"/>
      <c r="G706" s="44"/>
    </row>
    <row r="707" spans="4:7">
      <c r="D707" s="44"/>
      <c r="E707" s="44"/>
      <c r="F707" s="44"/>
      <c r="G707" s="44"/>
    </row>
    <row r="708" spans="4:7">
      <c r="D708" s="44"/>
      <c r="E708" s="44"/>
      <c r="F708" s="44"/>
      <c r="G708" s="44"/>
    </row>
    <row r="709" spans="4:7">
      <c r="D709" s="44"/>
      <c r="E709" s="44"/>
      <c r="F709" s="44"/>
      <c r="G709" s="44"/>
    </row>
    <row r="710" spans="4:7">
      <c r="D710" s="44"/>
      <c r="E710" s="44"/>
      <c r="F710" s="44"/>
      <c r="G710" s="44"/>
    </row>
    <row r="711" spans="4:7">
      <c r="D711" s="44"/>
      <c r="E711" s="44"/>
      <c r="F711" s="44"/>
      <c r="G711" s="44"/>
    </row>
    <row r="712" spans="4:7">
      <c r="D712" s="44"/>
      <c r="E712" s="44"/>
      <c r="F712" s="44"/>
      <c r="G712" s="44"/>
    </row>
    <row r="713" spans="4:7">
      <c r="D713" s="44"/>
      <c r="E713" s="44"/>
      <c r="F713" s="44"/>
      <c r="G713" s="44"/>
    </row>
    <row r="714" spans="4:7">
      <c r="D714" s="44"/>
      <c r="E714" s="44"/>
      <c r="F714" s="44"/>
      <c r="G714" s="44"/>
    </row>
    <row r="715" spans="4:7">
      <c r="D715" s="44"/>
      <c r="E715" s="44"/>
      <c r="F715" s="44"/>
      <c r="G715" s="44"/>
    </row>
    <row r="716" spans="4:7">
      <c r="D716" s="44"/>
      <c r="E716" s="44"/>
      <c r="F716" s="44"/>
      <c r="G716" s="44"/>
    </row>
    <row r="717" spans="4:7">
      <c r="D717" s="44"/>
      <c r="E717" s="44"/>
      <c r="F717" s="44"/>
      <c r="G717" s="44"/>
    </row>
    <row r="718" spans="4:7">
      <c r="D718" s="44"/>
      <c r="E718" s="44"/>
      <c r="F718" s="44"/>
      <c r="G718" s="44"/>
    </row>
    <row r="719" spans="4:7">
      <c r="D719" s="44"/>
      <c r="E719" s="44"/>
      <c r="F719" s="44"/>
      <c r="G719" s="44"/>
    </row>
    <row r="720" spans="4:7">
      <c r="D720" s="44"/>
      <c r="E720" s="44"/>
      <c r="F720" s="44"/>
      <c r="G720" s="44"/>
    </row>
    <row r="721" spans="4:7">
      <c r="D721" s="44"/>
      <c r="E721" s="44"/>
      <c r="F721" s="44"/>
      <c r="G721" s="44"/>
    </row>
    <row r="722" spans="4:7">
      <c r="D722" s="44"/>
      <c r="E722" s="44"/>
      <c r="F722" s="44"/>
      <c r="G722" s="44"/>
    </row>
    <row r="723" spans="4:7">
      <c r="D723" s="44"/>
      <c r="E723" s="44"/>
      <c r="F723" s="44"/>
      <c r="G723" s="44"/>
    </row>
    <row r="724" spans="4:7">
      <c r="D724" s="44"/>
      <c r="E724" s="44"/>
      <c r="F724" s="44"/>
      <c r="G724" s="44"/>
    </row>
    <row r="725" spans="4:7">
      <c r="D725" s="44"/>
      <c r="E725" s="44"/>
      <c r="F725" s="44"/>
      <c r="G725" s="44"/>
    </row>
    <row r="726" spans="4:7">
      <c r="D726" s="44"/>
      <c r="E726" s="44"/>
      <c r="F726" s="44"/>
      <c r="G726" s="44"/>
    </row>
    <row r="727" spans="4:7">
      <c r="D727" s="44"/>
      <c r="E727" s="44"/>
      <c r="F727" s="44"/>
      <c r="G727" s="44"/>
    </row>
    <row r="728" spans="4:7">
      <c r="D728" s="44"/>
      <c r="E728" s="44"/>
      <c r="F728" s="44"/>
      <c r="G728" s="44"/>
    </row>
    <row r="729" spans="4:7">
      <c r="D729" s="44"/>
      <c r="E729" s="44"/>
      <c r="F729" s="44"/>
      <c r="G729" s="44"/>
    </row>
    <row r="730" spans="4:7">
      <c r="D730" s="44"/>
      <c r="E730" s="44"/>
      <c r="F730" s="44"/>
      <c r="G730" s="44"/>
    </row>
    <row r="731" spans="4:7">
      <c r="D731" s="44"/>
      <c r="E731" s="44"/>
      <c r="F731" s="44"/>
      <c r="G731" s="44"/>
    </row>
    <row r="732" spans="4:7">
      <c r="D732" s="44"/>
      <c r="E732" s="44"/>
      <c r="F732" s="44"/>
      <c r="G732" s="44"/>
    </row>
    <row r="733" spans="4:7">
      <c r="D733" s="44"/>
      <c r="E733" s="44"/>
      <c r="F733" s="44"/>
      <c r="G733" s="44"/>
    </row>
    <row r="734" spans="4:7">
      <c r="D734" s="44"/>
      <c r="E734" s="44"/>
      <c r="F734" s="44"/>
      <c r="G734" s="44"/>
    </row>
    <row r="735" spans="4:7">
      <c r="D735" s="44"/>
      <c r="E735" s="44"/>
      <c r="F735" s="44"/>
      <c r="G735" s="44"/>
    </row>
    <row r="736" spans="4:7">
      <c r="D736" s="44"/>
      <c r="E736" s="44"/>
      <c r="F736" s="44"/>
      <c r="G736" s="44"/>
    </row>
    <row r="737" spans="4:7">
      <c r="D737" s="44"/>
      <c r="E737" s="44"/>
      <c r="F737" s="44"/>
      <c r="G737" s="44"/>
    </row>
    <row r="738" spans="4:7">
      <c r="D738" s="44"/>
      <c r="E738" s="44"/>
      <c r="F738" s="44"/>
      <c r="G738" s="44"/>
    </row>
    <row r="739" spans="4:7">
      <c r="D739" s="44"/>
      <c r="E739" s="44"/>
      <c r="F739" s="44"/>
      <c r="G739" s="44"/>
    </row>
    <row r="740" spans="4:7">
      <c r="D740" s="44"/>
      <c r="E740" s="44"/>
      <c r="F740" s="44"/>
      <c r="G740" s="44"/>
    </row>
    <row r="741" spans="4:7">
      <c r="D741" s="44"/>
      <c r="E741" s="44"/>
      <c r="F741" s="44"/>
      <c r="G741" s="44"/>
    </row>
    <row r="742" spans="4:7">
      <c r="D742" s="44"/>
      <c r="E742" s="44"/>
      <c r="F742" s="44"/>
      <c r="G742" s="44"/>
    </row>
    <row r="743" spans="4:7">
      <c r="D743" s="44"/>
      <c r="E743" s="44"/>
      <c r="F743" s="44"/>
      <c r="G743" s="44"/>
    </row>
    <row r="744" spans="4:7">
      <c r="D744" s="44"/>
      <c r="E744" s="44"/>
      <c r="F744" s="44"/>
      <c r="G744" s="44"/>
    </row>
    <row r="745" spans="4:7">
      <c r="D745" s="44"/>
      <c r="E745" s="44"/>
      <c r="F745" s="44"/>
      <c r="G745" s="44"/>
    </row>
    <row r="746" spans="4:7">
      <c r="D746" s="44"/>
      <c r="E746" s="44"/>
      <c r="F746" s="44"/>
      <c r="G746" s="44"/>
    </row>
    <row r="747" spans="4:7">
      <c r="D747" s="44"/>
      <c r="E747" s="44"/>
      <c r="F747" s="44"/>
      <c r="G747" s="44"/>
    </row>
    <row r="748" spans="4:7">
      <c r="D748" s="44"/>
      <c r="E748" s="44"/>
      <c r="F748" s="44"/>
      <c r="G748" s="44"/>
    </row>
    <row r="749" spans="4:7">
      <c r="D749" s="44"/>
      <c r="E749" s="44"/>
      <c r="F749" s="44"/>
      <c r="G749" s="44"/>
    </row>
    <row r="750" spans="4:7">
      <c r="D750" s="44"/>
      <c r="E750" s="44"/>
      <c r="F750" s="44"/>
      <c r="G750" s="44"/>
    </row>
    <row r="751" spans="4:7">
      <c r="D751" s="44"/>
      <c r="E751" s="44"/>
      <c r="F751" s="44"/>
      <c r="G751" s="44"/>
    </row>
    <row r="752" spans="4:7">
      <c r="D752" s="44"/>
      <c r="E752" s="44"/>
      <c r="F752" s="44"/>
      <c r="G752" s="44"/>
    </row>
    <row r="753" spans="4:7">
      <c r="D753" s="44"/>
      <c r="E753" s="44"/>
      <c r="F753" s="44"/>
      <c r="G753" s="44"/>
    </row>
    <row r="754" spans="4:7">
      <c r="D754" s="44"/>
      <c r="E754" s="44"/>
      <c r="F754" s="44"/>
      <c r="G754" s="44"/>
    </row>
    <row r="755" spans="4:7">
      <c r="D755" s="44"/>
      <c r="E755" s="44"/>
      <c r="F755" s="44"/>
      <c r="G755" s="44"/>
    </row>
    <row r="756" spans="4:7">
      <c r="D756" s="44"/>
      <c r="E756" s="44"/>
      <c r="F756" s="44"/>
      <c r="G756" s="44"/>
    </row>
    <row r="757" spans="4:7">
      <c r="D757" s="44"/>
      <c r="E757" s="44"/>
      <c r="F757" s="44"/>
      <c r="G757" s="44"/>
    </row>
    <row r="758" spans="4:7">
      <c r="D758" s="44"/>
      <c r="E758" s="44"/>
      <c r="F758" s="44"/>
      <c r="G758" s="44"/>
    </row>
    <row r="759" spans="4:7">
      <c r="D759" s="44"/>
      <c r="E759" s="44"/>
      <c r="F759" s="44"/>
      <c r="G759" s="44"/>
    </row>
    <row r="760" spans="4:7">
      <c r="D760" s="44"/>
      <c r="E760" s="44"/>
      <c r="F760" s="44"/>
      <c r="G760" s="44"/>
    </row>
    <row r="761" spans="4:7">
      <c r="D761" s="44"/>
      <c r="E761" s="44"/>
      <c r="F761" s="44"/>
      <c r="G761" s="44"/>
    </row>
    <row r="762" spans="4:7">
      <c r="D762" s="44"/>
      <c r="E762" s="44"/>
      <c r="F762" s="44"/>
      <c r="G762" s="44"/>
    </row>
    <row r="763" spans="4:7">
      <c r="D763" s="44"/>
      <c r="E763" s="44"/>
      <c r="F763" s="44"/>
      <c r="G763" s="44"/>
    </row>
    <row r="764" spans="4:7">
      <c r="D764" s="44"/>
      <c r="E764" s="44"/>
      <c r="F764" s="44"/>
      <c r="G764" s="44"/>
    </row>
    <row r="765" spans="4:7">
      <c r="D765" s="44"/>
      <c r="E765" s="44"/>
      <c r="F765" s="44"/>
      <c r="G765" s="44"/>
    </row>
    <row r="766" spans="4:7">
      <c r="D766" s="44"/>
      <c r="E766" s="44"/>
      <c r="F766" s="44"/>
      <c r="G766" s="44"/>
    </row>
    <row r="767" spans="4:7">
      <c r="D767" s="44"/>
      <c r="E767" s="44"/>
      <c r="F767" s="44"/>
      <c r="G767" s="44"/>
    </row>
    <row r="768" spans="4:7">
      <c r="D768" s="44"/>
      <c r="E768" s="44"/>
      <c r="F768" s="44"/>
      <c r="G768" s="44"/>
    </row>
    <row r="769" spans="4:7">
      <c r="D769" s="44"/>
      <c r="E769" s="44"/>
      <c r="F769" s="44"/>
      <c r="G769" s="44"/>
    </row>
    <row r="770" spans="4:7">
      <c r="D770" s="44"/>
      <c r="E770" s="44"/>
      <c r="F770" s="44"/>
      <c r="G770" s="44"/>
    </row>
    <row r="771" spans="4:7">
      <c r="D771" s="44"/>
      <c r="E771" s="44"/>
      <c r="F771" s="44"/>
      <c r="G771" s="44"/>
    </row>
    <row r="772" spans="4:7">
      <c r="D772" s="44"/>
      <c r="E772" s="44"/>
      <c r="F772" s="44"/>
      <c r="G772" s="44"/>
    </row>
    <row r="773" spans="4:7">
      <c r="D773" s="44"/>
      <c r="E773" s="44"/>
      <c r="F773" s="44"/>
      <c r="G773" s="44"/>
    </row>
    <row r="774" spans="4:7">
      <c r="D774" s="44"/>
      <c r="E774" s="44"/>
      <c r="F774" s="44"/>
      <c r="G774" s="44"/>
    </row>
    <row r="775" spans="4:7">
      <c r="D775" s="44"/>
      <c r="E775" s="44"/>
      <c r="F775" s="44"/>
      <c r="G775" s="44"/>
    </row>
    <row r="776" spans="4:7">
      <c r="D776" s="44"/>
      <c r="E776" s="44"/>
      <c r="F776" s="44"/>
      <c r="G776" s="44"/>
    </row>
    <row r="777" spans="4:7">
      <c r="D777" s="44"/>
      <c r="E777" s="44"/>
      <c r="F777" s="44"/>
      <c r="G777" s="44"/>
    </row>
    <row r="778" spans="4:7">
      <c r="D778" s="44"/>
      <c r="E778" s="44"/>
      <c r="F778" s="44"/>
      <c r="G778" s="44"/>
    </row>
    <row r="779" spans="4:7">
      <c r="D779" s="44"/>
      <c r="E779" s="44"/>
      <c r="F779" s="44"/>
      <c r="G779" s="44"/>
    </row>
    <row r="780" spans="4:7">
      <c r="D780" s="44"/>
      <c r="E780" s="44"/>
      <c r="F780" s="44"/>
      <c r="G780" s="44"/>
    </row>
    <row r="781" spans="4:7">
      <c r="D781" s="44"/>
      <c r="E781" s="44"/>
      <c r="F781" s="44"/>
      <c r="G781" s="44"/>
    </row>
    <row r="782" spans="4:7">
      <c r="D782" s="44"/>
      <c r="E782" s="44"/>
      <c r="F782" s="44"/>
      <c r="G782" s="44"/>
    </row>
    <row r="783" spans="4:7">
      <c r="D783" s="44"/>
      <c r="E783" s="44"/>
      <c r="F783" s="44"/>
      <c r="G783" s="44"/>
    </row>
    <row r="784" spans="4:7">
      <c r="D784" s="44"/>
      <c r="E784" s="44"/>
      <c r="F784" s="44"/>
      <c r="G784" s="44"/>
    </row>
    <row r="785" spans="4:7">
      <c r="D785" s="44"/>
      <c r="E785" s="44"/>
      <c r="F785" s="44"/>
      <c r="G785" s="44"/>
    </row>
    <row r="786" spans="4:7">
      <c r="D786" s="44"/>
      <c r="E786" s="44"/>
      <c r="F786" s="44"/>
      <c r="G786" s="44"/>
    </row>
    <row r="787" spans="4:7">
      <c r="D787" s="44"/>
      <c r="E787" s="44"/>
      <c r="F787" s="44"/>
      <c r="G787" s="44"/>
    </row>
    <row r="788" spans="4:7">
      <c r="D788" s="44"/>
      <c r="E788" s="44"/>
      <c r="F788" s="44"/>
      <c r="G788" s="44"/>
    </row>
    <row r="789" spans="4:7">
      <c r="D789" s="44"/>
      <c r="E789" s="44"/>
      <c r="F789" s="44"/>
      <c r="G789" s="44"/>
    </row>
    <row r="790" spans="4:7">
      <c r="D790" s="44"/>
      <c r="E790" s="44"/>
      <c r="F790" s="44"/>
      <c r="G790" s="44"/>
    </row>
    <row r="791" spans="4:7">
      <c r="D791" s="44"/>
      <c r="E791" s="44"/>
      <c r="F791" s="44"/>
      <c r="G791" s="44"/>
    </row>
    <row r="792" spans="4:7">
      <c r="D792" s="44"/>
      <c r="E792" s="44"/>
      <c r="F792" s="44"/>
      <c r="G792" s="44"/>
    </row>
    <row r="793" spans="4:7">
      <c r="D793" s="44"/>
      <c r="E793" s="44"/>
      <c r="F793" s="44"/>
      <c r="G793" s="44"/>
    </row>
    <row r="794" spans="4:7">
      <c r="D794" s="44"/>
      <c r="E794" s="44"/>
      <c r="F794" s="44"/>
      <c r="G794" s="44"/>
    </row>
    <row r="795" spans="4:7">
      <c r="D795" s="44"/>
      <c r="E795" s="44"/>
      <c r="F795" s="44"/>
      <c r="G795" s="44"/>
    </row>
    <row r="796" spans="4:7">
      <c r="D796" s="44"/>
      <c r="E796" s="44"/>
      <c r="F796" s="44"/>
      <c r="G796" s="44"/>
    </row>
    <row r="797" spans="4:7">
      <c r="D797" s="44"/>
      <c r="E797" s="44"/>
      <c r="F797" s="44"/>
      <c r="G797" s="44"/>
    </row>
    <row r="798" spans="4:7">
      <c r="D798" s="44"/>
      <c r="E798" s="44"/>
      <c r="F798" s="44"/>
      <c r="G798" s="44"/>
    </row>
    <row r="799" spans="4:7">
      <c r="D799" s="44"/>
      <c r="E799" s="44"/>
      <c r="F799" s="44"/>
      <c r="G799" s="44"/>
    </row>
    <row r="800" spans="4:7">
      <c r="D800" s="44"/>
      <c r="E800" s="44"/>
      <c r="F800" s="44"/>
      <c r="G800" s="44"/>
    </row>
    <row r="801" spans="4:7">
      <c r="D801" s="44"/>
      <c r="E801" s="44"/>
      <c r="F801" s="44"/>
      <c r="G801" s="44"/>
    </row>
    <row r="802" spans="4:7">
      <c r="D802" s="44"/>
      <c r="E802" s="44"/>
      <c r="F802" s="44"/>
      <c r="G802" s="44"/>
    </row>
    <row r="803" spans="4:7">
      <c r="D803" s="44"/>
      <c r="E803" s="44"/>
      <c r="F803" s="44"/>
      <c r="G803" s="44"/>
    </row>
    <row r="804" spans="4:7">
      <c r="D804" s="44"/>
      <c r="E804" s="44"/>
      <c r="F804" s="44"/>
      <c r="G804" s="44"/>
    </row>
    <row r="805" spans="4:7">
      <c r="D805" s="44"/>
      <c r="E805" s="44"/>
      <c r="F805" s="44"/>
      <c r="G805" s="44"/>
    </row>
    <row r="806" spans="4:7">
      <c r="D806" s="44"/>
      <c r="E806" s="44"/>
      <c r="F806" s="44"/>
      <c r="G806" s="44"/>
    </row>
    <row r="807" spans="4:7">
      <c r="D807" s="44"/>
      <c r="E807" s="44"/>
      <c r="F807" s="44"/>
      <c r="G807" s="44"/>
    </row>
    <row r="808" spans="4:7">
      <c r="D808" s="44"/>
      <c r="E808" s="44"/>
      <c r="F808" s="44"/>
      <c r="G808" s="44"/>
    </row>
    <row r="809" spans="4:7">
      <c r="D809" s="44"/>
      <c r="E809" s="44"/>
      <c r="F809" s="44"/>
      <c r="G809" s="44"/>
    </row>
    <row r="810" spans="4:7">
      <c r="D810" s="44"/>
      <c r="E810" s="44"/>
      <c r="F810" s="44"/>
      <c r="G810" s="44"/>
    </row>
    <row r="811" spans="4:7">
      <c r="D811" s="44"/>
      <c r="E811" s="44"/>
      <c r="F811" s="44"/>
      <c r="G811" s="44"/>
    </row>
    <row r="812" spans="4:7">
      <c r="D812" s="44"/>
      <c r="E812" s="44"/>
      <c r="F812" s="44"/>
      <c r="G812" s="44"/>
    </row>
    <row r="813" spans="4:7">
      <c r="D813" s="44"/>
      <c r="E813" s="44"/>
      <c r="F813" s="44"/>
      <c r="G813" s="44"/>
    </row>
    <row r="814" spans="4:7">
      <c r="D814" s="44"/>
      <c r="E814" s="44"/>
      <c r="F814" s="44"/>
      <c r="G814" s="44"/>
    </row>
    <row r="815" spans="4:7">
      <c r="D815" s="44"/>
      <c r="E815" s="44"/>
      <c r="F815" s="44"/>
      <c r="G815" s="44"/>
    </row>
    <row r="816" spans="4:7">
      <c r="D816" s="44"/>
      <c r="E816" s="44"/>
      <c r="F816" s="44"/>
      <c r="G816" s="44"/>
    </row>
    <row r="817" spans="4:7">
      <c r="D817" s="44"/>
      <c r="E817" s="44"/>
      <c r="F817" s="44"/>
      <c r="G817" s="44"/>
    </row>
    <row r="818" spans="4:7">
      <c r="D818" s="44"/>
      <c r="E818" s="44"/>
      <c r="F818" s="44"/>
      <c r="G818" s="44"/>
    </row>
    <row r="819" spans="4:7">
      <c r="D819" s="44"/>
      <c r="E819" s="44"/>
      <c r="F819" s="44"/>
      <c r="G819" s="44"/>
    </row>
    <row r="820" spans="4:7">
      <c r="D820" s="44"/>
      <c r="E820" s="44"/>
      <c r="F820" s="44"/>
      <c r="G820" s="44"/>
    </row>
    <row r="821" spans="4:7">
      <c r="D821" s="44"/>
      <c r="E821" s="44"/>
      <c r="F821" s="44"/>
      <c r="G821" s="44"/>
    </row>
    <row r="822" spans="4:7">
      <c r="D822" s="44"/>
      <c r="E822" s="44"/>
      <c r="F822" s="44"/>
      <c r="G822" s="44"/>
    </row>
    <row r="823" spans="4:7">
      <c r="D823" s="44"/>
      <c r="E823" s="44"/>
      <c r="F823" s="44"/>
      <c r="G823" s="44"/>
    </row>
    <row r="824" spans="4:7">
      <c r="D824" s="44"/>
      <c r="E824" s="44"/>
      <c r="F824" s="44"/>
      <c r="G824" s="44"/>
    </row>
    <row r="825" spans="4:7">
      <c r="D825" s="44"/>
      <c r="E825" s="44"/>
      <c r="F825" s="44"/>
      <c r="G825" s="44"/>
    </row>
    <row r="826" spans="4:7">
      <c r="D826" s="44"/>
      <c r="E826" s="44"/>
      <c r="F826" s="44"/>
      <c r="G826" s="44"/>
    </row>
    <row r="827" spans="4:7">
      <c r="D827" s="44"/>
      <c r="E827" s="44"/>
      <c r="F827" s="44"/>
      <c r="G827" s="44"/>
    </row>
    <row r="828" spans="4:7">
      <c r="D828" s="44"/>
      <c r="E828" s="44"/>
      <c r="F828" s="44"/>
      <c r="G828" s="44"/>
    </row>
    <row r="829" spans="4:7">
      <c r="D829" s="44"/>
      <c r="E829" s="44"/>
      <c r="F829" s="44"/>
      <c r="G829" s="44"/>
    </row>
    <row r="830" spans="4:7">
      <c r="D830" s="44"/>
      <c r="E830" s="44"/>
      <c r="F830" s="44"/>
      <c r="G830" s="44"/>
    </row>
    <row r="831" spans="4:7">
      <c r="D831" s="44"/>
      <c r="E831" s="44"/>
      <c r="F831" s="44"/>
      <c r="G831" s="44"/>
    </row>
    <row r="832" spans="4:7">
      <c r="D832" s="44"/>
      <c r="E832" s="44"/>
      <c r="F832" s="44"/>
      <c r="G832" s="44"/>
    </row>
    <row r="833" spans="4:7">
      <c r="D833" s="44"/>
      <c r="E833" s="44"/>
      <c r="F833" s="44"/>
      <c r="G833" s="44"/>
    </row>
    <row r="834" spans="4:7">
      <c r="D834" s="44"/>
      <c r="E834" s="44"/>
      <c r="F834" s="44"/>
      <c r="G834" s="44"/>
    </row>
    <row r="835" spans="4:7">
      <c r="D835" s="44"/>
      <c r="E835" s="44"/>
      <c r="F835" s="44"/>
      <c r="G835" s="44"/>
    </row>
    <row r="836" spans="4:7">
      <c r="D836" s="44"/>
      <c r="E836" s="44"/>
      <c r="F836" s="44"/>
      <c r="G836" s="44"/>
    </row>
    <row r="837" spans="4:7">
      <c r="D837" s="44"/>
      <c r="E837" s="44"/>
      <c r="F837" s="44"/>
      <c r="G837" s="44"/>
    </row>
    <row r="838" spans="4:7">
      <c r="D838" s="44"/>
      <c r="E838" s="44"/>
      <c r="F838" s="44"/>
      <c r="G838" s="44"/>
    </row>
    <row r="839" spans="4:7">
      <c r="D839" s="44"/>
      <c r="E839" s="44"/>
      <c r="F839" s="44"/>
      <c r="G839" s="44"/>
    </row>
    <row r="840" spans="4:7">
      <c r="D840" s="44"/>
      <c r="E840" s="44"/>
      <c r="F840" s="44"/>
      <c r="G840" s="44"/>
    </row>
    <row r="841" spans="4:7">
      <c r="D841" s="44"/>
      <c r="E841" s="44"/>
      <c r="F841" s="44"/>
      <c r="G841" s="44"/>
    </row>
    <row r="842" spans="4:7">
      <c r="D842" s="44"/>
      <c r="E842" s="44"/>
      <c r="F842" s="44"/>
      <c r="G842" s="44"/>
    </row>
    <row r="843" spans="4:7">
      <c r="D843" s="44"/>
      <c r="E843" s="44"/>
      <c r="F843" s="44"/>
      <c r="G843" s="44"/>
    </row>
    <row r="844" spans="4:7">
      <c r="D844" s="44"/>
      <c r="E844" s="44"/>
      <c r="F844" s="44"/>
      <c r="G844" s="44"/>
    </row>
    <row r="845" spans="4:7">
      <c r="D845" s="44"/>
      <c r="E845" s="44"/>
      <c r="F845" s="44"/>
      <c r="G845" s="44"/>
    </row>
    <row r="846" spans="4:7">
      <c r="D846" s="44"/>
      <c r="E846" s="44"/>
      <c r="F846" s="44"/>
      <c r="G846" s="44"/>
    </row>
    <row r="847" spans="4:7">
      <c r="D847" s="44"/>
      <c r="E847" s="44"/>
      <c r="F847" s="44"/>
      <c r="G847" s="44"/>
    </row>
    <row r="848" spans="4:7">
      <c r="D848" s="44"/>
      <c r="E848" s="44"/>
      <c r="F848" s="44"/>
      <c r="G848" s="44"/>
    </row>
    <row r="849" spans="4:7">
      <c r="D849" s="44"/>
      <c r="E849" s="44"/>
      <c r="F849" s="44"/>
      <c r="G849" s="44"/>
    </row>
    <row r="850" spans="4:7">
      <c r="D850" s="44"/>
      <c r="E850" s="44"/>
      <c r="F850" s="44"/>
      <c r="G850" s="44"/>
    </row>
    <row r="851" spans="4:7">
      <c r="D851" s="44"/>
      <c r="E851" s="44"/>
      <c r="F851" s="44"/>
      <c r="G851" s="44"/>
    </row>
    <row r="852" spans="4:7">
      <c r="D852" s="44"/>
      <c r="E852" s="44"/>
      <c r="F852" s="44"/>
      <c r="G852" s="44"/>
    </row>
    <row r="853" spans="4:7">
      <c r="D853" s="44"/>
      <c r="E853" s="44"/>
      <c r="F853" s="44"/>
      <c r="G853" s="44"/>
    </row>
    <row r="854" spans="4:7">
      <c r="D854" s="44"/>
      <c r="E854" s="44"/>
      <c r="F854" s="44"/>
      <c r="G854" s="44"/>
    </row>
    <row r="855" spans="4:7">
      <c r="D855" s="44"/>
      <c r="E855" s="44"/>
      <c r="F855" s="44"/>
      <c r="G855" s="44"/>
    </row>
    <row r="856" spans="4:7">
      <c r="D856" s="44"/>
      <c r="E856" s="44"/>
      <c r="F856" s="44"/>
      <c r="G856" s="44"/>
    </row>
    <row r="857" spans="4:7">
      <c r="D857" s="44"/>
      <c r="E857" s="44"/>
      <c r="F857" s="44"/>
      <c r="G857" s="44"/>
    </row>
    <row r="858" spans="4:7">
      <c r="D858" s="44"/>
      <c r="E858" s="44"/>
      <c r="F858" s="44"/>
      <c r="G858" s="44"/>
    </row>
    <row r="859" spans="4:7">
      <c r="D859" s="44"/>
      <c r="E859" s="44"/>
      <c r="F859" s="44"/>
      <c r="G859" s="44"/>
    </row>
    <row r="860" spans="4:7">
      <c r="D860" s="44"/>
      <c r="E860" s="44"/>
      <c r="F860" s="44"/>
      <c r="G860" s="44"/>
    </row>
    <row r="861" spans="4:7">
      <c r="D861" s="44"/>
      <c r="E861" s="44"/>
      <c r="F861" s="44"/>
      <c r="G861" s="44"/>
    </row>
    <row r="862" spans="4:7">
      <c r="D862" s="44"/>
      <c r="E862" s="44"/>
      <c r="F862" s="44"/>
      <c r="G862" s="44"/>
    </row>
    <row r="863" spans="4:7">
      <c r="D863" s="44"/>
      <c r="E863" s="44"/>
      <c r="F863" s="44"/>
      <c r="G863" s="44"/>
    </row>
    <row r="864" spans="4:7">
      <c r="D864" s="44"/>
      <c r="E864" s="44"/>
      <c r="F864" s="44"/>
      <c r="G864" s="44"/>
    </row>
    <row r="865" spans="4:7">
      <c r="D865" s="44"/>
      <c r="E865" s="44"/>
      <c r="F865" s="44"/>
      <c r="G865" s="44"/>
    </row>
    <row r="866" spans="4:7">
      <c r="D866" s="44"/>
      <c r="E866" s="44"/>
      <c r="F866" s="44"/>
      <c r="G866" s="44"/>
    </row>
    <row r="867" spans="4:7">
      <c r="D867" s="44"/>
      <c r="E867" s="44"/>
      <c r="F867" s="44"/>
      <c r="G867" s="44"/>
    </row>
    <row r="868" spans="4:7">
      <c r="D868" s="44"/>
      <c r="E868" s="44"/>
      <c r="F868" s="44"/>
      <c r="G868" s="44"/>
    </row>
    <row r="869" spans="4:7">
      <c r="D869" s="44"/>
      <c r="E869" s="44"/>
      <c r="F869" s="44"/>
      <c r="G869" s="44"/>
    </row>
    <row r="870" spans="4:7">
      <c r="D870" s="44"/>
      <c r="E870" s="44"/>
      <c r="F870" s="44"/>
      <c r="G870" s="44"/>
    </row>
    <row r="871" spans="4:7">
      <c r="D871" s="44"/>
      <c r="E871" s="44"/>
      <c r="F871" s="44"/>
      <c r="G871" s="44"/>
    </row>
    <row r="872" spans="4:7">
      <c r="D872" s="44"/>
      <c r="E872" s="44"/>
      <c r="F872" s="44"/>
      <c r="G872" s="44"/>
    </row>
    <row r="873" spans="4:7">
      <c r="D873" s="44"/>
      <c r="E873" s="44"/>
      <c r="F873" s="44"/>
      <c r="G873" s="44"/>
    </row>
    <row r="874" spans="4:7">
      <c r="D874" s="44"/>
      <c r="E874" s="44"/>
      <c r="F874" s="44"/>
      <c r="G874" s="44"/>
    </row>
    <row r="875" spans="4:7">
      <c r="D875" s="44"/>
      <c r="E875" s="44"/>
      <c r="F875" s="44"/>
      <c r="G875" s="44"/>
    </row>
    <row r="876" spans="4:7">
      <c r="D876" s="44"/>
      <c r="E876" s="44"/>
      <c r="F876" s="44"/>
      <c r="G876" s="44"/>
    </row>
    <row r="877" spans="4:7">
      <c r="D877" s="44"/>
      <c r="E877" s="44"/>
      <c r="F877" s="44"/>
      <c r="G877" s="44"/>
    </row>
    <row r="878" spans="4:7">
      <c r="D878" s="44"/>
      <c r="E878" s="44"/>
      <c r="F878" s="44"/>
      <c r="G878" s="44"/>
    </row>
    <row r="879" spans="4:7">
      <c r="D879" s="44"/>
      <c r="E879" s="44"/>
      <c r="F879" s="44"/>
      <c r="G879" s="44"/>
    </row>
    <row r="880" spans="4:7">
      <c r="D880" s="44"/>
      <c r="E880" s="44"/>
      <c r="F880" s="44"/>
      <c r="G880" s="44"/>
    </row>
    <row r="881" spans="4:7">
      <c r="D881" s="44"/>
      <c r="E881" s="44"/>
      <c r="F881" s="44"/>
      <c r="G881" s="44"/>
    </row>
  </sheetData>
  <mergeCells count="28">
    <mergeCell ref="D101:E101"/>
    <mergeCell ref="D100:E100"/>
    <mergeCell ref="G11:G12"/>
    <mergeCell ref="I11:I12"/>
    <mergeCell ref="K11:K12"/>
    <mergeCell ref="D94:E94"/>
    <mergeCell ref="D95:E95"/>
    <mergeCell ref="D96:E96"/>
    <mergeCell ref="D97:E97"/>
    <mergeCell ref="D98:E98"/>
    <mergeCell ref="N10:U10"/>
    <mergeCell ref="B10:B12"/>
    <mergeCell ref="D10:D12"/>
    <mergeCell ref="E10:E12"/>
    <mergeCell ref="C10:C12"/>
    <mergeCell ref="S11:S12"/>
    <mergeCell ref="U11:U12"/>
    <mergeCell ref="M11:M12"/>
    <mergeCell ref="O11:O12"/>
    <mergeCell ref="Q11:Q12"/>
    <mergeCell ref="D2:K2"/>
    <mergeCell ref="I4:K4"/>
    <mergeCell ref="I5:K5"/>
    <mergeCell ref="F10:I10"/>
    <mergeCell ref="I6:K6"/>
    <mergeCell ref="D8:K8"/>
    <mergeCell ref="J10:M10"/>
    <mergeCell ref="D4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Q99"/>
  <sheetViews>
    <sheetView topLeftCell="B89" workbookViewId="0">
      <selection activeCell="D101" sqref="D101"/>
    </sheetView>
  </sheetViews>
  <sheetFormatPr defaultRowHeight="15"/>
  <cols>
    <col min="2" max="2" width="12.5703125" customWidth="1"/>
    <col min="3" max="3" width="27.5703125" customWidth="1"/>
    <col min="4" max="4" width="46" customWidth="1"/>
    <col min="5" max="5" width="22.28515625" customWidth="1"/>
    <col min="6" max="6" width="24.85546875" customWidth="1"/>
    <col min="7" max="7" width="12.7109375" customWidth="1"/>
    <col min="8" max="8" width="10.42578125" customWidth="1"/>
    <col min="9" max="9" width="11.28515625" customWidth="1"/>
    <col min="10" max="10" width="10.7109375" customWidth="1"/>
  </cols>
  <sheetData>
    <row r="2" spans="2:17" ht="21" customHeight="1">
      <c r="C2" s="201" t="s">
        <v>35</v>
      </c>
      <c r="D2" s="201"/>
      <c r="E2" s="201"/>
      <c r="F2" s="201"/>
      <c r="G2" s="201"/>
    </row>
    <row r="3" spans="2:17">
      <c r="H3" s="44"/>
      <c r="I3" s="44"/>
      <c r="J3" s="44"/>
      <c r="K3" s="44"/>
      <c r="L3" s="44"/>
    </row>
    <row r="4" spans="2:17" s="2" customFormat="1" ht="24.95" customHeight="1" thickBot="1">
      <c r="B4" s="19"/>
      <c r="C4" s="165"/>
      <c r="D4" s="165"/>
      <c r="H4" s="167"/>
      <c r="I4" s="167"/>
      <c r="J4" s="167"/>
      <c r="K4" s="31"/>
      <c r="L4" s="31"/>
    </row>
    <row r="5" spans="2:17" s="2" customFormat="1" ht="24.95" customHeight="1" thickBot="1">
      <c r="B5" s="20"/>
      <c r="C5" s="82" t="s">
        <v>0</v>
      </c>
      <c r="D5" s="83" t="s">
        <v>42</v>
      </c>
      <c r="E5" s="82" t="s">
        <v>1</v>
      </c>
      <c r="F5" s="84" t="s">
        <v>152</v>
      </c>
      <c r="G5" s="45"/>
      <c r="H5" s="167"/>
      <c r="I5" s="167"/>
      <c r="J5" s="167"/>
      <c r="K5" s="31"/>
      <c r="L5" s="31"/>
    </row>
    <row r="6" spans="2:17" s="2" customFormat="1" ht="24.95" customHeight="1" thickBot="1">
      <c r="B6" s="20"/>
      <c r="C6" s="82" t="s">
        <v>2</v>
      </c>
      <c r="D6" s="85" t="s">
        <v>76</v>
      </c>
      <c r="E6" s="82" t="s">
        <v>3</v>
      </c>
      <c r="F6" s="84">
        <v>310251</v>
      </c>
      <c r="G6" s="45"/>
      <c r="H6" s="167"/>
      <c r="I6" s="167"/>
      <c r="J6" s="167"/>
      <c r="K6" s="31"/>
      <c r="L6" s="31"/>
    </row>
    <row r="7" spans="2:17" ht="18.75" customHeight="1" thickBot="1">
      <c r="B7" s="13"/>
      <c r="C7" s="86" t="s">
        <v>4</v>
      </c>
      <c r="D7" s="87" t="s">
        <v>153</v>
      </c>
      <c r="E7" s="82" t="s">
        <v>11</v>
      </c>
      <c r="F7" s="88" t="s">
        <v>77</v>
      </c>
      <c r="G7" s="45"/>
      <c r="H7" s="44"/>
      <c r="I7" s="44"/>
      <c r="J7" s="44"/>
      <c r="K7" s="44"/>
      <c r="L7" s="44"/>
    </row>
    <row r="8" spans="2:17" ht="22.5" customHeight="1">
      <c r="B8" s="13"/>
      <c r="C8" s="202" t="s">
        <v>31</v>
      </c>
      <c r="D8" s="202"/>
      <c r="E8" s="202"/>
      <c r="F8" s="202"/>
      <c r="G8" s="202"/>
    </row>
    <row r="10" spans="2:17" ht="20.100000000000001" customHeight="1">
      <c r="B10" s="203" t="s">
        <v>5</v>
      </c>
      <c r="C10" s="203" t="s">
        <v>6</v>
      </c>
      <c r="D10" s="203" t="s">
        <v>7</v>
      </c>
      <c r="E10" s="195" t="s">
        <v>37</v>
      </c>
      <c r="F10" s="196"/>
      <c r="G10" s="196"/>
      <c r="H10" s="196"/>
      <c r="I10" s="196"/>
      <c r="J10" s="197"/>
    </row>
    <row r="11" spans="2:17" ht="20.100000000000001" customHeight="1">
      <c r="B11" s="203"/>
      <c r="C11" s="203"/>
      <c r="D11" s="203"/>
      <c r="E11" s="198"/>
      <c r="F11" s="199"/>
      <c r="G11" s="199"/>
      <c r="H11" s="199"/>
      <c r="I11" s="199"/>
      <c r="J11" s="200"/>
    </row>
    <row r="12" spans="2:17" ht="20.100000000000001" customHeight="1">
      <c r="B12" s="203"/>
      <c r="C12" s="203"/>
      <c r="D12" s="203"/>
      <c r="E12" s="46" t="s">
        <v>12</v>
      </c>
      <c r="F12" s="46" t="s">
        <v>13</v>
      </c>
      <c r="G12" s="46" t="s">
        <v>14</v>
      </c>
      <c r="H12" s="46" t="s">
        <v>15</v>
      </c>
      <c r="I12" s="46" t="s">
        <v>16</v>
      </c>
      <c r="J12" s="46" t="s">
        <v>17</v>
      </c>
    </row>
    <row r="13" spans="2:17" s="24" customFormat="1" ht="18" customHeight="1">
      <c r="B13" s="69">
        <v>1</v>
      </c>
      <c r="C13" s="114" t="s">
        <v>78</v>
      </c>
      <c r="D13" s="115" t="s">
        <v>161</v>
      </c>
      <c r="E13" s="71">
        <v>3</v>
      </c>
      <c r="F13" s="71">
        <v>3</v>
      </c>
      <c r="G13" s="71">
        <v>3</v>
      </c>
      <c r="H13" s="71">
        <v>3</v>
      </c>
      <c r="I13" s="162">
        <v>3</v>
      </c>
      <c r="J13" s="162">
        <v>3</v>
      </c>
      <c r="K13" s="23"/>
      <c r="L13"/>
      <c r="M13"/>
      <c r="N13"/>
      <c r="O13"/>
      <c r="P13"/>
      <c r="Q13"/>
    </row>
    <row r="14" spans="2:17" s="24" customFormat="1" ht="18" customHeight="1">
      <c r="B14" s="69">
        <v>2</v>
      </c>
      <c r="C14" s="114" t="s">
        <v>79</v>
      </c>
      <c r="D14" s="115" t="s">
        <v>162</v>
      </c>
      <c r="E14" s="71">
        <v>3</v>
      </c>
      <c r="F14" s="71">
        <v>3</v>
      </c>
      <c r="G14" s="71">
        <v>3</v>
      </c>
      <c r="H14" s="71">
        <v>3</v>
      </c>
      <c r="I14" s="162">
        <v>3</v>
      </c>
      <c r="J14" s="162">
        <v>3</v>
      </c>
      <c r="K14" s="23"/>
      <c r="L14" s="23"/>
    </row>
    <row r="15" spans="2:17" s="24" customFormat="1" ht="18" customHeight="1">
      <c r="B15" s="69">
        <v>3</v>
      </c>
      <c r="C15" s="114" t="s">
        <v>80</v>
      </c>
      <c r="D15" s="115" t="s">
        <v>163</v>
      </c>
      <c r="E15" s="71">
        <v>3</v>
      </c>
      <c r="F15" s="71">
        <v>3</v>
      </c>
      <c r="G15" s="71">
        <v>3</v>
      </c>
      <c r="H15" s="71">
        <v>3</v>
      </c>
      <c r="I15" s="162">
        <v>3</v>
      </c>
      <c r="J15" s="162">
        <v>3</v>
      </c>
      <c r="K15" s="23"/>
      <c r="L15" s="23"/>
    </row>
    <row r="16" spans="2:17" s="24" customFormat="1" ht="18" customHeight="1">
      <c r="B16" s="69">
        <v>4</v>
      </c>
      <c r="C16" s="114" t="s">
        <v>81</v>
      </c>
      <c r="D16" s="115" t="s">
        <v>164</v>
      </c>
      <c r="E16" s="71">
        <v>3</v>
      </c>
      <c r="F16" s="71">
        <v>3</v>
      </c>
      <c r="G16" s="71">
        <v>3</v>
      </c>
      <c r="H16" s="71">
        <v>3</v>
      </c>
      <c r="I16" s="162">
        <v>3</v>
      </c>
      <c r="J16" s="162">
        <v>3</v>
      </c>
      <c r="K16" s="23"/>
      <c r="L16" s="23"/>
    </row>
    <row r="17" spans="2:16" s="24" customFormat="1" ht="18" customHeight="1">
      <c r="B17" s="69">
        <v>5</v>
      </c>
      <c r="C17" s="114" t="s">
        <v>82</v>
      </c>
      <c r="D17" s="115" t="s">
        <v>165</v>
      </c>
      <c r="E17" s="71">
        <v>3</v>
      </c>
      <c r="F17" s="71">
        <v>3</v>
      </c>
      <c r="G17" s="71">
        <v>3</v>
      </c>
      <c r="H17" s="71">
        <v>3</v>
      </c>
      <c r="I17" s="162">
        <v>3</v>
      </c>
      <c r="J17" s="162">
        <v>3</v>
      </c>
      <c r="K17" s="23"/>
      <c r="L17" s="23"/>
    </row>
    <row r="18" spans="2:16" s="24" customFormat="1" ht="18" customHeight="1">
      <c r="B18" s="69">
        <v>6</v>
      </c>
      <c r="C18" s="114" t="s">
        <v>83</v>
      </c>
      <c r="D18" s="115" t="s">
        <v>166</v>
      </c>
      <c r="E18" s="71">
        <v>3</v>
      </c>
      <c r="F18" s="71">
        <v>3</v>
      </c>
      <c r="G18" s="71">
        <v>3</v>
      </c>
      <c r="H18" s="71">
        <v>3</v>
      </c>
      <c r="I18" s="162">
        <v>3</v>
      </c>
      <c r="J18" s="162">
        <v>3</v>
      </c>
      <c r="K18"/>
      <c r="L18"/>
      <c r="M18"/>
      <c r="N18"/>
      <c r="O18"/>
      <c r="P18"/>
    </row>
    <row r="19" spans="2:16" s="24" customFormat="1" ht="18" customHeight="1">
      <c r="B19" s="69">
        <v>7</v>
      </c>
      <c r="C19" s="114" t="s">
        <v>85</v>
      </c>
      <c r="D19" s="115" t="s">
        <v>167</v>
      </c>
      <c r="E19" s="71">
        <v>3</v>
      </c>
      <c r="F19" s="71">
        <v>3</v>
      </c>
      <c r="G19" s="71">
        <v>3</v>
      </c>
      <c r="H19" s="71">
        <v>3</v>
      </c>
      <c r="I19" s="162">
        <v>3</v>
      </c>
      <c r="J19" s="162">
        <v>3</v>
      </c>
      <c r="K19" s="23"/>
      <c r="L19" s="23"/>
    </row>
    <row r="20" spans="2:16" s="24" customFormat="1" ht="18" customHeight="1">
      <c r="B20" s="69">
        <v>8</v>
      </c>
      <c r="C20" s="114" t="s">
        <v>86</v>
      </c>
      <c r="D20" s="116" t="s">
        <v>84</v>
      </c>
      <c r="E20" s="162"/>
      <c r="F20" s="162"/>
      <c r="G20" s="162"/>
      <c r="H20" s="162"/>
      <c r="I20" s="162"/>
      <c r="J20" s="162"/>
      <c r="K20" s="23"/>
      <c r="L20" s="23"/>
    </row>
    <row r="21" spans="2:16" s="24" customFormat="1" ht="18" customHeight="1">
      <c r="B21" s="69">
        <v>9</v>
      </c>
      <c r="C21" s="114" t="s">
        <v>87</v>
      </c>
      <c r="D21" s="116" t="s">
        <v>168</v>
      </c>
      <c r="E21" s="162">
        <v>2</v>
      </c>
      <c r="F21" s="162">
        <v>2</v>
      </c>
      <c r="G21" s="162">
        <v>2</v>
      </c>
      <c r="H21" s="162">
        <v>2</v>
      </c>
      <c r="I21" s="162">
        <v>2</v>
      </c>
      <c r="J21" s="162">
        <v>2</v>
      </c>
      <c r="K21" s="23"/>
      <c r="L21" s="23"/>
    </row>
    <row r="22" spans="2:16" s="24" customFormat="1" ht="18" customHeight="1">
      <c r="B22" s="69">
        <v>10</v>
      </c>
      <c r="C22" s="114" t="s">
        <v>88</v>
      </c>
      <c r="D22" s="116" t="s">
        <v>169</v>
      </c>
      <c r="E22" s="71">
        <v>3</v>
      </c>
      <c r="F22" s="71">
        <v>3</v>
      </c>
      <c r="G22" s="71">
        <v>3</v>
      </c>
      <c r="H22" s="71">
        <v>3</v>
      </c>
      <c r="I22" s="162">
        <v>3</v>
      </c>
      <c r="J22" s="162">
        <v>3</v>
      </c>
      <c r="K22" s="23"/>
      <c r="L22" s="23"/>
    </row>
    <row r="23" spans="2:16" s="24" customFormat="1" ht="18" customHeight="1">
      <c r="B23" s="69">
        <v>11</v>
      </c>
      <c r="C23" s="114" t="s">
        <v>89</v>
      </c>
      <c r="D23" s="116" t="s">
        <v>170</v>
      </c>
      <c r="E23" s="71">
        <v>3</v>
      </c>
      <c r="F23" s="71">
        <v>3</v>
      </c>
      <c r="G23" s="71">
        <v>3</v>
      </c>
      <c r="H23" s="71">
        <v>3</v>
      </c>
      <c r="I23" s="162">
        <v>3</v>
      </c>
      <c r="J23" s="162">
        <v>3</v>
      </c>
      <c r="K23"/>
      <c r="L23"/>
      <c r="M23"/>
      <c r="N23"/>
      <c r="O23"/>
      <c r="P23"/>
    </row>
    <row r="24" spans="2:16" s="24" customFormat="1" ht="18" customHeight="1">
      <c r="B24" s="69">
        <v>12</v>
      </c>
      <c r="C24" s="114" t="s">
        <v>91</v>
      </c>
      <c r="D24" s="116" t="s">
        <v>171</v>
      </c>
      <c r="E24" s="162">
        <v>2</v>
      </c>
      <c r="F24" s="162">
        <v>2</v>
      </c>
      <c r="G24" s="162">
        <v>2</v>
      </c>
      <c r="H24" s="162">
        <v>2</v>
      </c>
      <c r="I24" s="162">
        <v>2</v>
      </c>
      <c r="J24" s="162">
        <v>2</v>
      </c>
      <c r="K24"/>
      <c r="L24"/>
      <c r="M24"/>
      <c r="N24"/>
      <c r="O24"/>
      <c r="P24"/>
    </row>
    <row r="25" spans="2:16" s="24" customFormat="1" ht="18" customHeight="1">
      <c r="B25" s="69">
        <v>13</v>
      </c>
      <c r="C25" s="114" t="s">
        <v>92</v>
      </c>
      <c r="D25" s="116" t="s">
        <v>90</v>
      </c>
      <c r="E25" s="162"/>
      <c r="F25" s="162"/>
      <c r="G25" s="162"/>
      <c r="H25" s="162"/>
      <c r="I25" s="162"/>
      <c r="J25" s="162"/>
      <c r="K25" s="23"/>
      <c r="L25" s="23"/>
    </row>
    <row r="26" spans="2:16" s="24" customFormat="1" ht="18" customHeight="1">
      <c r="B26" s="69">
        <v>14</v>
      </c>
      <c r="C26" s="117" t="s">
        <v>93</v>
      </c>
      <c r="D26" s="118" t="s">
        <v>172</v>
      </c>
      <c r="E26" s="162">
        <v>3</v>
      </c>
      <c r="F26" s="162">
        <v>2</v>
      </c>
      <c r="G26" s="162">
        <v>2</v>
      </c>
      <c r="H26" s="162">
        <v>2</v>
      </c>
      <c r="I26" s="162">
        <v>2</v>
      </c>
      <c r="J26" s="162">
        <v>2</v>
      </c>
      <c r="K26" s="23"/>
      <c r="L26" s="23"/>
    </row>
    <row r="27" spans="2:16" s="24" customFormat="1" ht="18" customHeight="1">
      <c r="B27" s="69">
        <v>15</v>
      </c>
      <c r="C27" s="117" t="s">
        <v>94</v>
      </c>
      <c r="D27" s="118" t="s">
        <v>173</v>
      </c>
      <c r="E27" s="71">
        <v>3</v>
      </c>
      <c r="F27" s="71">
        <v>3</v>
      </c>
      <c r="G27" s="71">
        <v>3</v>
      </c>
      <c r="H27" s="71">
        <v>3</v>
      </c>
      <c r="I27" s="162">
        <v>3</v>
      </c>
      <c r="J27" s="162">
        <v>3</v>
      </c>
      <c r="K27" s="23"/>
      <c r="L27" s="23"/>
    </row>
    <row r="28" spans="2:16" s="24" customFormat="1" ht="18" customHeight="1">
      <c r="B28" s="69">
        <v>16</v>
      </c>
      <c r="C28" s="114" t="s">
        <v>95</v>
      </c>
      <c r="D28" s="116" t="s">
        <v>174</v>
      </c>
      <c r="E28" s="162"/>
      <c r="F28" s="162"/>
      <c r="G28" s="162"/>
      <c r="H28" s="162"/>
      <c r="I28" s="162"/>
      <c r="J28" s="162"/>
      <c r="K28"/>
      <c r="L28"/>
      <c r="M28"/>
      <c r="N28"/>
      <c r="O28"/>
      <c r="P28"/>
    </row>
    <row r="29" spans="2:16" s="24" customFormat="1" ht="18" customHeight="1">
      <c r="B29" s="69">
        <v>17</v>
      </c>
      <c r="C29" s="114" t="s">
        <v>96</v>
      </c>
      <c r="D29" s="116" t="s">
        <v>175</v>
      </c>
      <c r="E29" s="71">
        <v>3</v>
      </c>
      <c r="F29" s="71">
        <v>3</v>
      </c>
      <c r="G29" s="71">
        <v>3</v>
      </c>
      <c r="H29" s="71">
        <v>3</v>
      </c>
      <c r="I29" s="162">
        <v>3</v>
      </c>
      <c r="J29" s="162">
        <v>3</v>
      </c>
      <c r="K29" s="23"/>
      <c r="L29" s="23"/>
    </row>
    <row r="30" spans="2:16" s="24" customFormat="1" ht="18" customHeight="1">
      <c r="B30" s="69">
        <v>18</v>
      </c>
      <c r="C30" s="114" t="s">
        <v>97</v>
      </c>
      <c r="D30" s="116" t="s">
        <v>176</v>
      </c>
      <c r="E30" s="71">
        <v>3</v>
      </c>
      <c r="F30" s="71">
        <v>3</v>
      </c>
      <c r="G30" s="71">
        <v>3</v>
      </c>
      <c r="H30" s="71">
        <v>3</v>
      </c>
      <c r="I30" s="162">
        <v>3</v>
      </c>
      <c r="J30" s="162">
        <v>3</v>
      </c>
      <c r="K30"/>
      <c r="L30"/>
      <c r="M30"/>
      <c r="N30"/>
      <c r="O30"/>
      <c r="P30"/>
    </row>
    <row r="31" spans="2:16" s="24" customFormat="1" ht="18" customHeight="1">
      <c r="B31" s="69">
        <v>19</v>
      </c>
      <c r="C31" s="114" t="s">
        <v>98</v>
      </c>
      <c r="D31" s="116" t="s">
        <v>177</v>
      </c>
      <c r="E31" s="162"/>
      <c r="F31" s="162"/>
      <c r="G31" s="162"/>
      <c r="H31" s="162"/>
      <c r="I31" s="162"/>
      <c r="J31" s="162"/>
      <c r="K31" s="23"/>
      <c r="L31" s="23"/>
    </row>
    <row r="32" spans="2:16" s="24" customFormat="1" ht="18" customHeight="1">
      <c r="B32" s="69">
        <v>20</v>
      </c>
      <c r="C32" s="114" t="s">
        <v>99</v>
      </c>
      <c r="D32" s="116" t="s">
        <v>178</v>
      </c>
      <c r="E32" s="71">
        <v>3</v>
      </c>
      <c r="F32" s="71">
        <v>3</v>
      </c>
      <c r="G32" s="71">
        <v>3</v>
      </c>
      <c r="H32" s="71">
        <v>3</v>
      </c>
      <c r="I32" s="162">
        <v>3</v>
      </c>
      <c r="J32" s="162">
        <v>3</v>
      </c>
      <c r="K32" s="23"/>
      <c r="L32" s="23"/>
    </row>
    <row r="33" spans="2:16" s="24" customFormat="1" ht="18" customHeight="1">
      <c r="B33" s="69">
        <v>21</v>
      </c>
      <c r="C33" s="114" t="s">
        <v>100</v>
      </c>
      <c r="D33" s="116" t="s">
        <v>179</v>
      </c>
      <c r="E33" s="71">
        <v>3</v>
      </c>
      <c r="F33" s="71">
        <v>3</v>
      </c>
      <c r="G33" s="71">
        <v>3</v>
      </c>
      <c r="H33" s="71">
        <v>3</v>
      </c>
      <c r="I33" s="162">
        <v>3</v>
      </c>
      <c r="J33" s="162">
        <v>3</v>
      </c>
      <c r="K33" s="23"/>
      <c r="L33" s="23"/>
    </row>
    <row r="34" spans="2:16" s="24" customFormat="1" ht="18" customHeight="1">
      <c r="B34" s="69">
        <v>22</v>
      </c>
      <c r="C34" s="114" t="s">
        <v>101</v>
      </c>
      <c r="D34" s="116" t="s">
        <v>180</v>
      </c>
      <c r="E34" s="71">
        <v>3</v>
      </c>
      <c r="F34" s="71">
        <v>3</v>
      </c>
      <c r="G34" s="71">
        <v>3</v>
      </c>
      <c r="H34" s="71">
        <v>3</v>
      </c>
      <c r="I34" s="162">
        <v>3</v>
      </c>
      <c r="J34" s="162">
        <v>3</v>
      </c>
      <c r="K34"/>
      <c r="L34"/>
      <c r="M34"/>
      <c r="N34"/>
      <c r="O34"/>
      <c r="P34"/>
    </row>
    <row r="35" spans="2:16" s="24" customFormat="1" ht="18" customHeight="1">
      <c r="B35" s="69">
        <v>23</v>
      </c>
      <c r="C35" s="114" t="s">
        <v>102</v>
      </c>
      <c r="D35" s="116" t="s">
        <v>181</v>
      </c>
      <c r="E35" s="71">
        <v>3</v>
      </c>
      <c r="F35" s="71">
        <v>3</v>
      </c>
      <c r="G35" s="71">
        <v>3</v>
      </c>
      <c r="H35" s="71">
        <v>3</v>
      </c>
      <c r="I35" s="162">
        <v>3</v>
      </c>
      <c r="J35" s="162">
        <v>3</v>
      </c>
      <c r="K35"/>
      <c r="L35"/>
      <c r="M35"/>
      <c r="N35"/>
      <c r="O35"/>
      <c r="P35"/>
    </row>
    <row r="36" spans="2:16" s="24" customFormat="1" ht="18" customHeight="1">
      <c r="B36" s="69">
        <v>24</v>
      </c>
      <c r="C36" s="114" t="s">
        <v>103</v>
      </c>
      <c r="D36" s="119" t="s">
        <v>182</v>
      </c>
      <c r="E36" s="162">
        <v>2</v>
      </c>
      <c r="F36" s="162">
        <v>2</v>
      </c>
      <c r="G36" s="162">
        <v>2</v>
      </c>
      <c r="H36" s="162">
        <v>2</v>
      </c>
      <c r="I36" s="162">
        <v>2</v>
      </c>
      <c r="J36" s="162">
        <v>2</v>
      </c>
      <c r="K36" s="23"/>
      <c r="L36" s="23"/>
    </row>
    <row r="37" spans="2:16" s="24" customFormat="1" ht="18" customHeight="1">
      <c r="B37" s="69">
        <v>25</v>
      </c>
      <c r="C37" s="114" t="s">
        <v>104</v>
      </c>
      <c r="D37" s="119" t="s">
        <v>183</v>
      </c>
      <c r="E37" s="71">
        <v>3</v>
      </c>
      <c r="F37" s="71">
        <v>3</v>
      </c>
      <c r="G37" s="71">
        <v>3</v>
      </c>
      <c r="H37" s="71">
        <v>3</v>
      </c>
      <c r="I37" s="162">
        <v>3</v>
      </c>
      <c r="J37" s="162">
        <v>3</v>
      </c>
      <c r="K37"/>
      <c r="L37"/>
      <c r="M37"/>
      <c r="N37"/>
      <c r="O37"/>
      <c r="P37"/>
    </row>
    <row r="38" spans="2:16" s="24" customFormat="1" ht="18" customHeight="1">
      <c r="B38" s="69">
        <v>26</v>
      </c>
      <c r="C38" s="114" t="s">
        <v>105</v>
      </c>
      <c r="D38" s="119" t="s">
        <v>184</v>
      </c>
      <c r="E38" s="71">
        <v>3</v>
      </c>
      <c r="F38" s="71">
        <v>3</v>
      </c>
      <c r="G38" s="71">
        <v>3</v>
      </c>
      <c r="H38" s="71">
        <v>3</v>
      </c>
      <c r="I38" s="162">
        <v>3</v>
      </c>
      <c r="J38" s="162">
        <v>3</v>
      </c>
      <c r="K38"/>
      <c r="L38"/>
      <c r="M38"/>
      <c r="N38"/>
      <c r="O38"/>
      <c r="P38"/>
    </row>
    <row r="39" spans="2:16" s="24" customFormat="1" ht="18" customHeight="1">
      <c r="B39" s="69">
        <v>27</v>
      </c>
      <c r="C39" s="114" t="s">
        <v>106</v>
      </c>
      <c r="D39" s="119" t="s">
        <v>185</v>
      </c>
      <c r="E39" s="71">
        <v>3</v>
      </c>
      <c r="F39" s="71">
        <v>3</v>
      </c>
      <c r="G39" s="71">
        <v>3</v>
      </c>
      <c r="H39" s="71">
        <v>3</v>
      </c>
      <c r="I39" s="162">
        <v>3</v>
      </c>
      <c r="J39" s="162">
        <v>3</v>
      </c>
      <c r="K39"/>
      <c r="L39"/>
      <c r="M39"/>
      <c r="N39"/>
      <c r="O39"/>
      <c r="P39"/>
    </row>
    <row r="40" spans="2:16" s="24" customFormat="1" ht="18" customHeight="1">
      <c r="B40" s="69">
        <v>28</v>
      </c>
      <c r="C40" s="114" t="s">
        <v>107</v>
      </c>
      <c r="D40" s="119" t="s">
        <v>186</v>
      </c>
      <c r="E40" s="71">
        <v>3</v>
      </c>
      <c r="F40" s="71">
        <v>3</v>
      </c>
      <c r="G40" s="71">
        <v>3</v>
      </c>
      <c r="H40" s="71">
        <v>3</v>
      </c>
      <c r="I40" s="162">
        <v>3</v>
      </c>
      <c r="J40" s="162">
        <v>3</v>
      </c>
      <c r="K40"/>
      <c r="L40"/>
      <c r="M40"/>
      <c r="N40"/>
      <c r="O40"/>
      <c r="P40"/>
    </row>
    <row r="41" spans="2:16" s="24" customFormat="1" ht="18" customHeight="1">
      <c r="B41" s="69">
        <v>29</v>
      </c>
      <c r="C41" s="114" t="s">
        <v>108</v>
      </c>
      <c r="D41" s="116" t="s">
        <v>187</v>
      </c>
      <c r="E41" s="71">
        <v>3</v>
      </c>
      <c r="F41" s="71">
        <v>3</v>
      </c>
      <c r="G41" s="71">
        <v>3</v>
      </c>
      <c r="H41" s="71">
        <v>3</v>
      </c>
      <c r="I41" s="162">
        <v>3</v>
      </c>
      <c r="J41" s="162">
        <v>3</v>
      </c>
      <c r="K41"/>
      <c r="L41"/>
      <c r="M41"/>
      <c r="N41"/>
      <c r="O41"/>
      <c r="P41"/>
    </row>
    <row r="42" spans="2:16" s="24" customFormat="1" ht="18" customHeight="1">
      <c r="B42" s="69">
        <v>30</v>
      </c>
      <c r="C42" s="120" t="s">
        <v>109</v>
      </c>
      <c r="D42" s="121" t="s">
        <v>188</v>
      </c>
      <c r="E42" s="71">
        <v>3</v>
      </c>
      <c r="F42" s="71">
        <v>3</v>
      </c>
      <c r="G42" s="71">
        <v>3</v>
      </c>
      <c r="H42" s="71">
        <v>3</v>
      </c>
      <c r="I42" s="162">
        <v>3</v>
      </c>
      <c r="J42" s="162">
        <v>3</v>
      </c>
      <c r="K42"/>
      <c r="L42"/>
      <c r="M42"/>
      <c r="N42"/>
      <c r="O42"/>
      <c r="P42"/>
    </row>
    <row r="43" spans="2:16" s="24" customFormat="1" ht="18" customHeight="1">
      <c r="B43" s="69">
        <v>31</v>
      </c>
      <c r="C43" s="114" t="s">
        <v>110</v>
      </c>
      <c r="D43" s="122" t="s">
        <v>189</v>
      </c>
      <c r="E43" s="162">
        <v>3</v>
      </c>
      <c r="F43" s="162">
        <v>3</v>
      </c>
      <c r="G43" s="162">
        <v>3</v>
      </c>
      <c r="H43" s="162">
        <v>3</v>
      </c>
      <c r="I43" s="162">
        <v>2</v>
      </c>
      <c r="J43" s="162">
        <v>2</v>
      </c>
      <c r="K43"/>
      <c r="L43"/>
      <c r="M43"/>
      <c r="N43"/>
      <c r="O43"/>
      <c r="P43"/>
    </row>
    <row r="44" spans="2:16" s="24" customFormat="1" ht="18" customHeight="1">
      <c r="B44" s="69">
        <v>32</v>
      </c>
      <c r="C44" s="114" t="s">
        <v>111</v>
      </c>
      <c r="D44" s="122" t="s">
        <v>190</v>
      </c>
      <c r="E44" s="71">
        <v>3</v>
      </c>
      <c r="F44" s="71">
        <v>3</v>
      </c>
      <c r="G44" s="71">
        <v>3</v>
      </c>
      <c r="H44" s="71">
        <v>3</v>
      </c>
      <c r="I44" s="162">
        <v>3</v>
      </c>
      <c r="J44" s="162">
        <v>3</v>
      </c>
      <c r="K44"/>
      <c r="L44"/>
      <c r="M44"/>
      <c r="N44"/>
      <c r="O44"/>
      <c r="P44"/>
    </row>
    <row r="45" spans="2:16" s="24" customFormat="1" ht="18" customHeight="1">
      <c r="B45" s="69">
        <v>33</v>
      </c>
      <c r="C45" s="120" t="s">
        <v>112</v>
      </c>
      <c r="D45" s="123" t="s">
        <v>191</v>
      </c>
      <c r="E45" s="71">
        <v>3</v>
      </c>
      <c r="F45" s="71">
        <v>3</v>
      </c>
      <c r="G45" s="71">
        <v>3</v>
      </c>
      <c r="H45" s="71">
        <v>3</v>
      </c>
      <c r="I45" s="162">
        <v>3</v>
      </c>
      <c r="J45" s="162">
        <v>3</v>
      </c>
      <c r="K45"/>
      <c r="L45"/>
      <c r="M45"/>
      <c r="N45"/>
      <c r="O45"/>
      <c r="P45"/>
    </row>
    <row r="46" spans="2:16" s="24" customFormat="1" ht="18" customHeight="1">
      <c r="B46" s="69">
        <v>34</v>
      </c>
      <c r="C46" s="114" t="s">
        <v>113</v>
      </c>
      <c r="D46" s="116" t="s">
        <v>192</v>
      </c>
      <c r="E46" s="71">
        <v>3</v>
      </c>
      <c r="F46" s="71">
        <v>3</v>
      </c>
      <c r="G46" s="71">
        <v>3</v>
      </c>
      <c r="H46" s="71">
        <v>3</v>
      </c>
      <c r="I46" s="162">
        <v>3</v>
      </c>
      <c r="J46" s="162">
        <v>3</v>
      </c>
      <c r="K46"/>
      <c r="L46"/>
      <c r="M46"/>
      <c r="N46"/>
      <c r="O46"/>
      <c r="P46"/>
    </row>
    <row r="47" spans="2:16" s="24" customFormat="1" ht="18" customHeight="1" thickBot="1">
      <c r="B47" s="69">
        <v>35</v>
      </c>
      <c r="C47" s="114" t="s">
        <v>114</v>
      </c>
      <c r="D47" s="116" t="s">
        <v>193</v>
      </c>
      <c r="E47" s="71">
        <v>3</v>
      </c>
      <c r="F47" s="71">
        <v>3</v>
      </c>
      <c r="G47" s="71">
        <v>3</v>
      </c>
      <c r="H47" s="71">
        <v>3</v>
      </c>
      <c r="I47" s="162">
        <v>3</v>
      </c>
      <c r="J47" s="162">
        <v>3</v>
      </c>
      <c r="K47" s="23"/>
      <c r="L47" s="23"/>
    </row>
    <row r="48" spans="2:16" s="24" customFormat="1" ht="18" customHeight="1" thickBot="1">
      <c r="B48" s="69">
        <v>36</v>
      </c>
      <c r="C48" s="124" t="s">
        <v>115</v>
      </c>
      <c r="D48" s="125" t="s">
        <v>194</v>
      </c>
      <c r="E48" s="71">
        <v>3</v>
      </c>
      <c r="F48" s="71">
        <v>3</v>
      </c>
      <c r="G48" s="71">
        <v>3</v>
      </c>
      <c r="H48" s="71">
        <v>3</v>
      </c>
      <c r="I48" s="162">
        <v>3</v>
      </c>
      <c r="J48" s="162">
        <v>3</v>
      </c>
      <c r="K48"/>
      <c r="L48"/>
      <c r="M48"/>
      <c r="N48"/>
      <c r="O48"/>
      <c r="P48"/>
    </row>
    <row r="49" spans="2:16" s="24" customFormat="1" ht="18" customHeight="1" thickBot="1">
      <c r="B49" s="69">
        <v>37</v>
      </c>
      <c r="C49" s="126" t="s">
        <v>116</v>
      </c>
      <c r="D49" s="127" t="s">
        <v>195</v>
      </c>
      <c r="E49" s="162"/>
      <c r="F49" s="162"/>
      <c r="G49" s="162"/>
      <c r="H49" s="162"/>
      <c r="I49" s="162"/>
      <c r="J49" s="162"/>
      <c r="K49"/>
      <c r="L49"/>
      <c r="M49"/>
      <c r="N49"/>
      <c r="O49"/>
      <c r="P49"/>
    </row>
    <row r="50" spans="2:16" s="24" customFormat="1" ht="18" customHeight="1" thickBot="1">
      <c r="B50" s="69">
        <v>38</v>
      </c>
      <c r="C50" s="128" t="s">
        <v>117</v>
      </c>
      <c r="D50" s="129" t="s">
        <v>196</v>
      </c>
      <c r="E50" s="71">
        <v>3</v>
      </c>
      <c r="F50" s="71">
        <v>3</v>
      </c>
      <c r="G50" s="71">
        <v>3</v>
      </c>
      <c r="H50" s="71">
        <v>3</v>
      </c>
      <c r="I50" s="162">
        <v>3</v>
      </c>
      <c r="J50" s="162">
        <v>3</v>
      </c>
      <c r="K50"/>
      <c r="L50"/>
      <c r="M50"/>
      <c r="N50"/>
      <c r="O50"/>
      <c r="P50"/>
    </row>
    <row r="51" spans="2:16" s="24" customFormat="1" ht="18" customHeight="1" thickBot="1">
      <c r="B51" s="69">
        <v>39</v>
      </c>
      <c r="C51" s="128" t="s">
        <v>118</v>
      </c>
      <c r="D51" s="129" t="s">
        <v>197</v>
      </c>
      <c r="E51" s="71">
        <v>3</v>
      </c>
      <c r="F51" s="71">
        <v>3</v>
      </c>
      <c r="G51" s="71">
        <v>3</v>
      </c>
      <c r="H51" s="71">
        <v>3</v>
      </c>
      <c r="I51" s="162">
        <v>3</v>
      </c>
      <c r="J51" s="162">
        <v>3</v>
      </c>
      <c r="K51"/>
      <c r="L51"/>
      <c r="M51"/>
      <c r="N51"/>
      <c r="O51"/>
      <c r="P51"/>
    </row>
    <row r="52" spans="2:16" s="24" customFormat="1" ht="18" customHeight="1" thickBot="1">
      <c r="B52" s="69">
        <v>40</v>
      </c>
      <c r="C52" s="128" t="s">
        <v>119</v>
      </c>
      <c r="D52" s="129" t="s">
        <v>198</v>
      </c>
      <c r="E52" s="162">
        <v>2</v>
      </c>
      <c r="F52" s="162">
        <v>2</v>
      </c>
      <c r="G52" s="162">
        <v>2</v>
      </c>
      <c r="H52" s="162">
        <v>2</v>
      </c>
      <c r="I52" s="162">
        <v>2</v>
      </c>
      <c r="J52" s="162">
        <v>2</v>
      </c>
      <c r="K52"/>
      <c r="L52"/>
      <c r="M52"/>
      <c r="N52"/>
      <c r="O52"/>
      <c r="P52"/>
    </row>
    <row r="53" spans="2:16" s="24" customFormat="1" ht="18" customHeight="1" thickBot="1">
      <c r="B53" s="69">
        <v>41</v>
      </c>
      <c r="C53" s="128" t="s">
        <v>120</v>
      </c>
      <c r="D53" s="129" t="s">
        <v>199</v>
      </c>
      <c r="E53" s="71">
        <v>3</v>
      </c>
      <c r="F53" s="71">
        <v>3</v>
      </c>
      <c r="G53" s="71">
        <v>3</v>
      </c>
      <c r="H53" s="71">
        <v>3</v>
      </c>
      <c r="I53" s="162">
        <v>3</v>
      </c>
      <c r="J53" s="162">
        <v>3</v>
      </c>
      <c r="K53"/>
      <c r="L53"/>
      <c r="M53"/>
      <c r="N53"/>
      <c r="O53"/>
      <c r="P53"/>
    </row>
    <row r="54" spans="2:16" s="24" customFormat="1" ht="18" customHeight="1" thickBot="1">
      <c r="B54" s="69">
        <v>42</v>
      </c>
      <c r="C54" s="128" t="s">
        <v>121</v>
      </c>
      <c r="D54" s="129" t="s">
        <v>200</v>
      </c>
      <c r="E54" s="71">
        <v>3</v>
      </c>
      <c r="F54" s="71">
        <v>3</v>
      </c>
      <c r="G54" s="71">
        <v>3</v>
      </c>
      <c r="H54" s="71">
        <v>3</v>
      </c>
      <c r="I54" s="162">
        <v>3</v>
      </c>
      <c r="J54" s="162">
        <v>3</v>
      </c>
      <c r="K54"/>
      <c r="L54"/>
      <c r="M54"/>
      <c r="N54"/>
      <c r="O54"/>
      <c r="P54"/>
    </row>
    <row r="55" spans="2:16" s="24" customFormat="1" ht="18" customHeight="1" thickBot="1">
      <c r="B55" s="69">
        <v>43</v>
      </c>
      <c r="C55" s="128" t="s">
        <v>122</v>
      </c>
      <c r="D55" s="130" t="s">
        <v>201</v>
      </c>
      <c r="E55" s="162">
        <v>2</v>
      </c>
      <c r="F55" s="162">
        <v>2</v>
      </c>
      <c r="G55" s="162">
        <v>2</v>
      </c>
      <c r="H55" s="162">
        <v>2</v>
      </c>
      <c r="I55" s="162">
        <v>2</v>
      </c>
      <c r="J55" s="162">
        <v>2</v>
      </c>
      <c r="K55"/>
      <c r="L55"/>
      <c r="M55"/>
      <c r="N55"/>
      <c r="O55"/>
      <c r="P55"/>
    </row>
    <row r="56" spans="2:16" s="24" customFormat="1" ht="18" customHeight="1" thickBot="1">
      <c r="B56" s="69">
        <v>44</v>
      </c>
      <c r="C56" s="128" t="s">
        <v>123</v>
      </c>
      <c r="D56" s="129" t="s">
        <v>202</v>
      </c>
      <c r="E56" s="162">
        <v>2</v>
      </c>
      <c r="F56" s="162">
        <v>2</v>
      </c>
      <c r="G56" s="162">
        <v>2</v>
      </c>
      <c r="H56" s="162">
        <v>2</v>
      </c>
      <c r="I56" s="162">
        <v>2</v>
      </c>
      <c r="J56" s="162">
        <v>2</v>
      </c>
      <c r="K56"/>
      <c r="L56"/>
      <c r="M56"/>
      <c r="N56"/>
      <c r="O56"/>
      <c r="P56"/>
    </row>
    <row r="57" spans="2:16" s="24" customFormat="1" ht="18" customHeight="1" thickBot="1">
      <c r="B57" s="69">
        <v>45</v>
      </c>
      <c r="C57" s="128" t="s">
        <v>124</v>
      </c>
      <c r="D57" s="129" t="s">
        <v>203</v>
      </c>
      <c r="E57" s="71">
        <v>3</v>
      </c>
      <c r="F57" s="71">
        <v>3</v>
      </c>
      <c r="G57" s="71">
        <v>3</v>
      </c>
      <c r="H57" s="71">
        <v>3</v>
      </c>
      <c r="I57" s="162">
        <v>3</v>
      </c>
      <c r="J57" s="162">
        <v>3</v>
      </c>
      <c r="K57"/>
      <c r="L57"/>
      <c r="M57"/>
      <c r="N57"/>
      <c r="O57"/>
      <c r="P57"/>
    </row>
    <row r="58" spans="2:16" s="24" customFormat="1" ht="18" customHeight="1" thickBot="1">
      <c r="B58" s="69">
        <v>46</v>
      </c>
      <c r="C58" s="128" t="s">
        <v>125</v>
      </c>
      <c r="D58" s="129" t="s">
        <v>204</v>
      </c>
      <c r="E58" s="162"/>
      <c r="F58" s="162"/>
      <c r="G58" s="162"/>
      <c r="H58" s="162"/>
      <c r="I58" s="162"/>
      <c r="J58" s="162"/>
      <c r="K58"/>
      <c r="L58"/>
      <c r="M58"/>
      <c r="N58"/>
      <c r="O58"/>
      <c r="P58"/>
    </row>
    <row r="59" spans="2:16" s="24" customFormat="1" ht="18" customHeight="1" thickBot="1">
      <c r="B59" s="69">
        <v>47</v>
      </c>
      <c r="C59" s="128" t="s">
        <v>126</v>
      </c>
      <c r="D59" s="129" t="s">
        <v>205</v>
      </c>
      <c r="E59" s="71">
        <v>3</v>
      </c>
      <c r="F59" s="71">
        <v>3</v>
      </c>
      <c r="G59" s="71">
        <v>3</v>
      </c>
      <c r="H59" s="71">
        <v>3</v>
      </c>
      <c r="I59" s="162">
        <v>3</v>
      </c>
      <c r="J59" s="162">
        <v>3</v>
      </c>
      <c r="K59" s="23"/>
      <c r="L59" s="23"/>
    </row>
    <row r="60" spans="2:16" s="24" customFormat="1" ht="18" customHeight="1" thickBot="1">
      <c r="B60" s="69">
        <v>48</v>
      </c>
      <c r="C60" s="128" t="s">
        <v>127</v>
      </c>
      <c r="D60" s="129" t="s">
        <v>206</v>
      </c>
      <c r="E60" s="71">
        <v>3</v>
      </c>
      <c r="F60" s="71">
        <v>3</v>
      </c>
      <c r="G60" s="71">
        <v>3</v>
      </c>
      <c r="H60" s="71">
        <v>3</v>
      </c>
      <c r="I60" s="162">
        <v>3</v>
      </c>
      <c r="J60" s="162">
        <v>3</v>
      </c>
      <c r="K60" s="23"/>
      <c r="L60" s="23"/>
    </row>
    <row r="61" spans="2:16" s="24" customFormat="1" ht="18" customHeight="1" thickBot="1">
      <c r="B61" s="69">
        <v>49</v>
      </c>
      <c r="C61" s="128" t="s">
        <v>128</v>
      </c>
      <c r="D61" s="129" t="s">
        <v>207</v>
      </c>
      <c r="E61" s="71">
        <v>3</v>
      </c>
      <c r="F61" s="71">
        <v>3</v>
      </c>
      <c r="G61" s="71">
        <v>3</v>
      </c>
      <c r="H61" s="71">
        <v>3</v>
      </c>
      <c r="I61" s="162">
        <v>3</v>
      </c>
      <c r="J61" s="162">
        <v>3</v>
      </c>
      <c r="K61" s="23"/>
      <c r="L61" s="23"/>
    </row>
    <row r="62" spans="2:16" s="24" customFormat="1" ht="18" customHeight="1" thickBot="1">
      <c r="B62" s="69">
        <v>50</v>
      </c>
      <c r="C62" s="128" t="s">
        <v>129</v>
      </c>
      <c r="D62" s="129" t="s">
        <v>208</v>
      </c>
      <c r="E62" s="70"/>
      <c r="F62" s="70"/>
      <c r="G62" s="70"/>
      <c r="H62" s="70"/>
      <c r="I62" s="70"/>
      <c r="J62" s="70"/>
      <c r="K62"/>
      <c r="L62"/>
      <c r="M62"/>
      <c r="N62"/>
      <c r="O62"/>
      <c r="P62"/>
    </row>
    <row r="63" spans="2:16" s="24" customFormat="1" ht="18" customHeight="1" thickBot="1">
      <c r="B63" s="69">
        <v>51</v>
      </c>
      <c r="C63" s="128" t="s">
        <v>130</v>
      </c>
      <c r="D63" s="130" t="s">
        <v>209</v>
      </c>
      <c r="E63" s="71">
        <v>3</v>
      </c>
      <c r="F63" s="71">
        <v>3</v>
      </c>
      <c r="G63" s="71">
        <v>3</v>
      </c>
      <c r="H63" s="71">
        <v>3</v>
      </c>
      <c r="I63" s="162">
        <v>3</v>
      </c>
      <c r="J63" s="162">
        <v>3</v>
      </c>
      <c r="K63" s="23"/>
      <c r="L63" s="23"/>
    </row>
    <row r="64" spans="2:16" s="24" customFormat="1" ht="18" customHeight="1" thickBot="1">
      <c r="B64" s="69">
        <v>52</v>
      </c>
      <c r="C64" s="128" t="s">
        <v>131</v>
      </c>
      <c r="D64" s="129" t="s">
        <v>210</v>
      </c>
      <c r="E64" s="71">
        <v>3</v>
      </c>
      <c r="F64" s="71">
        <v>3</v>
      </c>
      <c r="G64" s="71">
        <v>3</v>
      </c>
      <c r="H64" s="71">
        <v>3</v>
      </c>
      <c r="I64" s="162">
        <v>3</v>
      </c>
      <c r="J64" s="162">
        <v>3</v>
      </c>
      <c r="K64" s="23"/>
      <c r="L64" s="23"/>
    </row>
    <row r="65" spans="2:16" s="24" customFormat="1" ht="18" customHeight="1" thickBot="1">
      <c r="B65" s="69">
        <v>53</v>
      </c>
      <c r="C65" s="128" t="s">
        <v>132</v>
      </c>
      <c r="D65" s="129" t="s">
        <v>211</v>
      </c>
      <c r="E65" s="71">
        <v>3</v>
      </c>
      <c r="F65" s="71">
        <v>3</v>
      </c>
      <c r="G65" s="71">
        <v>3</v>
      </c>
      <c r="H65" s="71">
        <v>3</v>
      </c>
      <c r="I65" s="162">
        <v>3</v>
      </c>
      <c r="J65" s="162">
        <v>3</v>
      </c>
      <c r="K65" s="23"/>
      <c r="L65" s="23"/>
    </row>
    <row r="66" spans="2:16" s="24" customFormat="1" ht="18" customHeight="1" thickBot="1">
      <c r="B66" s="69">
        <v>54</v>
      </c>
      <c r="C66" s="128" t="s">
        <v>133</v>
      </c>
      <c r="D66" s="129" t="s">
        <v>212</v>
      </c>
      <c r="E66" s="71">
        <v>2</v>
      </c>
      <c r="F66" s="71">
        <v>2</v>
      </c>
      <c r="G66" s="71">
        <v>2</v>
      </c>
      <c r="H66" s="71">
        <v>2</v>
      </c>
      <c r="I66" s="71">
        <v>2</v>
      </c>
      <c r="J66" s="71">
        <v>2</v>
      </c>
      <c r="K66" s="23"/>
      <c r="L66" s="23"/>
    </row>
    <row r="67" spans="2:16" s="24" customFormat="1" ht="18" customHeight="1" thickBot="1">
      <c r="B67" s="69">
        <v>55</v>
      </c>
      <c r="C67" s="128" t="s">
        <v>134</v>
      </c>
      <c r="D67" s="129" t="s">
        <v>213</v>
      </c>
      <c r="E67" s="71">
        <v>3</v>
      </c>
      <c r="F67" s="71">
        <v>3</v>
      </c>
      <c r="G67" s="71">
        <v>3</v>
      </c>
      <c r="H67" s="71">
        <v>3</v>
      </c>
      <c r="I67" s="162">
        <v>3</v>
      </c>
      <c r="J67" s="162">
        <v>3</v>
      </c>
    </row>
    <row r="68" spans="2:16" s="24" customFormat="1" ht="18" customHeight="1" thickBot="1">
      <c r="B68" s="69">
        <v>56</v>
      </c>
      <c r="C68" s="128" t="s">
        <v>135</v>
      </c>
      <c r="D68" s="129" t="s">
        <v>214</v>
      </c>
      <c r="E68" s="71">
        <v>3</v>
      </c>
      <c r="F68" s="71">
        <v>3</v>
      </c>
      <c r="G68" s="71">
        <v>3</v>
      </c>
      <c r="H68" s="71">
        <v>3</v>
      </c>
      <c r="I68" s="162">
        <v>3</v>
      </c>
      <c r="J68" s="162">
        <v>3</v>
      </c>
      <c r="K68" s="23"/>
      <c r="L68" s="23"/>
    </row>
    <row r="69" spans="2:16" s="24" customFormat="1" ht="18" customHeight="1" thickBot="1">
      <c r="B69" s="69">
        <v>57</v>
      </c>
      <c r="C69" s="128" t="s">
        <v>136</v>
      </c>
      <c r="D69" s="129" t="s">
        <v>215</v>
      </c>
      <c r="E69" s="71">
        <v>3</v>
      </c>
      <c r="F69" s="71">
        <v>3</v>
      </c>
      <c r="G69" s="71">
        <v>3</v>
      </c>
      <c r="H69" s="71">
        <v>3</v>
      </c>
      <c r="I69" s="71">
        <v>2</v>
      </c>
      <c r="J69" s="71">
        <v>2</v>
      </c>
      <c r="K69"/>
      <c r="L69"/>
      <c r="M69"/>
      <c r="N69"/>
      <c r="O69"/>
      <c r="P69"/>
    </row>
    <row r="70" spans="2:16" s="24" customFormat="1" ht="18" customHeight="1" thickBot="1">
      <c r="B70" s="69">
        <v>58</v>
      </c>
      <c r="C70" s="128" t="s">
        <v>137</v>
      </c>
      <c r="D70" s="129" t="s">
        <v>216</v>
      </c>
      <c r="E70" s="71">
        <v>3</v>
      </c>
      <c r="F70" s="71">
        <v>3</v>
      </c>
      <c r="G70" s="71">
        <v>3</v>
      </c>
      <c r="H70" s="71">
        <v>3</v>
      </c>
      <c r="I70" s="162">
        <v>3</v>
      </c>
      <c r="J70" s="162">
        <v>3</v>
      </c>
      <c r="K70"/>
      <c r="L70"/>
      <c r="M70"/>
      <c r="N70"/>
      <c r="O70"/>
      <c r="P70"/>
    </row>
    <row r="71" spans="2:16" s="24" customFormat="1" ht="18" customHeight="1" thickBot="1">
      <c r="B71" s="69">
        <v>59</v>
      </c>
      <c r="C71" s="128" t="s">
        <v>138</v>
      </c>
      <c r="D71" s="129" t="s">
        <v>217</v>
      </c>
      <c r="E71" s="71">
        <v>3</v>
      </c>
      <c r="F71" s="71">
        <v>3</v>
      </c>
      <c r="G71" s="71">
        <v>3</v>
      </c>
      <c r="H71" s="71">
        <v>3</v>
      </c>
      <c r="I71" s="162">
        <v>3</v>
      </c>
      <c r="J71" s="162">
        <v>3</v>
      </c>
      <c r="K71"/>
      <c r="L71"/>
      <c r="M71"/>
      <c r="N71"/>
      <c r="O71"/>
      <c r="P71"/>
    </row>
    <row r="72" spans="2:16" s="24" customFormat="1" ht="18" customHeight="1" thickBot="1">
      <c r="B72" s="69">
        <v>60</v>
      </c>
      <c r="C72" s="128" t="s">
        <v>139</v>
      </c>
      <c r="D72" s="129" t="s">
        <v>218</v>
      </c>
      <c r="E72" s="162">
        <v>2</v>
      </c>
      <c r="F72" s="162">
        <v>2</v>
      </c>
      <c r="G72" s="162">
        <v>2</v>
      </c>
      <c r="H72" s="162">
        <v>2</v>
      </c>
      <c r="I72" s="162">
        <v>2</v>
      </c>
      <c r="J72" s="162">
        <v>2</v>
      </c>
      <c r="K72"/>
      <c r="L72"/>
      <c r="M72"/>
      <c r="N72"/>
      <c r="O72"/>
      <c r="P72"/>
    </row>
    <row r="73" spans="2:16" s="24" customFormat="1" ht="18" customHeight="1" thickBot="1">
      <c r="B73" s="69">
        <v>61</v>
      </c>
      <c r="C73" s="131" t="s">
        <v>140</v>
      </c>
      <c r="D73" s="129" t="s">
        <v>219</v>
      </c>
      <c r="E73" s="71">
        <v>3</v>
      </c>
      <c r="F73" s="71">
        <v>2</v>
      </c>
      <c r="G73" s="71">
        <v>3</v>
      </c>
      <c r="H73" s="71">
        <v>3</v>
      </c>
      <c r="I73" s="71">
        <v>3</v>
      </c>
      <c r="J73" s="71">
        <v>3</v>
      </c>
      <c r="K73"/>
      <c r="L73"/>
      <c r="M73"/>
      <c r="N73"/>
      <c r="O73"/>
      <c r="P73"/>
    </row>
    <row r="74" spans="2:16" s="24" customFormat="1" ht="18" customHeight="1" thickBot="1">
      <c r="B74" s="69">
        <v>62</v>
      </c>
      <c r="C74" s="128" t="s">
        <v>141</v>
      </c>
      <c r="D74" s="129" t="s">
        <v>220</v>
      </c>
      <c r="E74" s="71"/>
      <c r="F74" s="71"/>
      <c r="G74" s="71"/>
      <c r="H74" s="71"/>
      <c r="I74" s="71"/>
      <c r="J74" s="71"/>
      <c r="K74" s="23"/>
      <c r="L74" s="23"/>
    </row>
    <row r="75" spans="2:16" s="24" customFormat="1" ht="18" customHeight="1" thickBot="1">
      <c r="B75" s="69">
        <v>63</v>
      </c>
      <c r="C75" s="128" t="s">
        <v>142</v>
      </c>
      <c r="D75" s="129" t="s">
        <v>221</v>
      </c>
      <c r="E75" s="71">
        <v>3</v>
      </c>
      <c r="F75" s="71">
        <v>3</v>
      </c>
      <c r="G75" s="71">
        <v>3</v>
      </c>
      <c r="H75" s="71">
        <v>3</v>
      </c>
      <c r="I75" s="162">
        <v>3</v>
      </c>
      <c r="J75" s="162">
        <v>3</v>
      </c>
      <c r="K75" s="23"/>
      <c r="L75" s="23"/>
    </row>
    <row r="76" spans="2:16" s="24" customFormat="1" ht="18" customHeight="1" thickBot="1">
      <c r="B76" s="69">
        <v>64</v>
      </c>
      <c r="C76" s="128" t="s">
        <v>143</v>
      </c>
      <c r="D76" s="129" t="s">
        <v>222</v>
      </c>
      <c r="E76" s="71">
        <v>3</v>
      </c>
      <c r="F76" s="71">
        <v>3</v>
      </c>
      <c r="G76" s="71">
        <v>3</v>
      </c>
      <c r="H76" s="71">
        <v>3</v>
      </c>
      <c r="I76" s="162">
        <v>3</v>
      </c>
      <c r="J76" s="162">
        <v>3</v>
      </c>
      <c r="K76" s="23"/>
      <c r="L76" s="23"/>
    </row>
    <row r="77" spans="2:16" s="24" customFormat="1" ht="18" customHeight="1" thickBot="1">
      <c r="B77" s="69">
        <v>65</v>
      </c>
      <c r="C77" s="128" t="s">
        <v>144</v>
      </c>
      <c r="D77" s="129" t="s">
        <v>223</v>
      </c>
      <c r="E77" s="162"/>
      <c r="F77" s="162"/>
      <c r="G77" s="162"/>
      <c r="H77" s="162"/>
      <c r="I77" s="162"/>
      <c r="J77" s="162"/>
      <c r="K77" s="23"/>
      <c r="L77" s="23"/>
    </row>
    <row r="78" spans="2:16" s="24" customFormat="1" ht="18" customHeight="1" thickBot="1">
      <c r="B78" s="69">
        <v>66</v>
      </c>
      <c r="C78" s="128" t="s">
        <v>145</v>
      </c>
      <c r="D78" s="129" t="s">
        <v>224</v>
      </c>
      <c r="E78" s="162">
        <v>3</v>
      </c>
      <c r="F78" s="162">
        <v>2</v>
      </c>
      <c r="G78" s="162">
        <v>3</v>
      </c>
      <c r="H78" s="162">
        <v>2</v>
      </c>
      <c r="I78" s="162">
        <v>3</v>
      </c>
      <c r="J78" s="162">
        <v>2</v>
      </c>
      <c r="K78" s="23"/>
      <c r="L78" s="23"/>
    </row>
    <row r="79" spans="2:16" s="24" customFormat="1" ht="18" customHeight="1" thickBot="1">
      <c r="B79" s="69">
        <v>67</v>
      </c>
      <c r="C79" s="128" t="s">
        <v>146</v>
      </c>
      <c r="D79" s="129" t="s">
        <v>225</v>
      </c>
      <c r="E79" s="71"/>
      <c r="F79" s="71"/>
      <c r="G79" s="71"/>
      <c r="H79" s="71"/>
      <c r="I79" s="71"/>
      <c r="J79" s="71"/>
      <c r="K79" s="23"/>
      <c r="L79" s="23"/>
    </row>
    <row r="80" spans="2:16" s="24" customFormat="1" ht="18" customHeight="1" thickBot="1">
      <c r="B80" s="69">
        <v>68</v>
      </c>
      <c r="C80" s="128" t="s">
        <v>147</v>
      </c>
      <c r="D80" s="129" t="s">
        <v>226</v>
      </c>
      <c r="E80" s="162">
        <v>3</v>
      </c>
      <c r="F80" s="162">
        <v>2</v>
      </c>
      <c r="G80" s="162">
        <v>3</v>
      </c>
      <c r="H80" s="162">
        <v>3</v>
      </c>
      <c r="I80" s="162">
        <v>3</v>
      </c>
      <c r="J80" s="162">
        <v>3</v>
      </c>
      <c r="K80" s="23"/>
      <c r="L80" s="23"/>
    </row>
    <row r="81" spans="2:16" s="24" customFormat="1" ht="18" customHeight="1" thickBot="1">
      <c r="B81" s="69">
        <v>69</v>
      </c>
      <c r="C81" s="128" t="s">
        <v>148</v>
      </c>
      <c r="D81" s="129" t="s">
        <v>227</v>
      </c>
      <c r="E81" s="71">
        <v>3</v>
      </c>
      <c r="F81" s="71">
        <v>3</v>
      </c>
      <c r="G81" s="71">
        <v>3</v>
      </c>
      <c r="H81" s="71">
        <v>3</v>
      </c>
      <c r="I81" s="162">
        <v>3</v>
      </c>
      <c r="J81" s="162">
        <v>3</v>
      </c>
      <c r="K81" s="23"/>
      <c r="L81" s="23"/>
    </row>
    <row r="82" spans="2:16" s="24" customFormat="1" ht="18" customHeight="1" thickBot="1">
      <c r="B82" s="69">
        <v>70</v>
      </c>
      <c r="C82" s="128" t="s">
        <v>149</v>
      </c>
      <c r="D82" s="129" t="s">
        <v>228</v>
      </c>
      <c r="E82" s="162"/>
      <c r="F82" s="162"/>
      <c r="G82" s="162">
        <v>2</v>
      </c>
      <c r="H82" s="162">
        <v>2</v>
      </c>
      <c r="I82" s="162">
        <v>2</v>
      </c>
      <c r="J82" s="162">
        <v>2</v>
      </c>
      <c r="K82"/>
      <c r="L82"/>
      <c r="M82"/>
      <c r="N82"/>
      <c r="O82"/>
      <c r="P82"/>
    </row>
    <row r="83" spans="2:16" s="24" customFormat="1" ht="18" customHeight="1" thickBot="1">
      <c r="B83" s="69">
        <v>71</v>
      </c>
      <c r="C83" s="128" t="s">
        <v>150</v>
      </c>
      <c r="D83" s="129" t="s">
        <v>229</v>
      </c>
      <c r="E83" s="162">
        <v>3</v>
      </c>
      <c r="F83" s="162">
        <v>3</v>
      </c>
      <c r="G83" s="162">
        <v>3</v>
      </c>
      <c r="H83" s="162">
        <v>3</v>
      </c>
      <c r="I83" s="162">
        <v>2</v>
      </c>
      <c r="J83" s="162">
        <v>3</v>
      </c>
      <c r="K83" s="23"/>
      <c r="L83" s="23"/>
    </row>
    <row r="84" spans="2:16" s="24" customFormat="1" ht="18" customHeight="1" thickBot="1">
      <c r="B84" s="69">
        <v>72</v>
      </c>
      <c r="C84" s="128" t="s">
        <v>151</v>
      </c>
      <c r="D84" s="129" t="s">
        <v>230</v>
      </c>
      <c r="E84" s="71">
        <v>3</v>
      </c>
      <c r="F84" s="71">
        <v>3</v>
      </c>
      <c r="G84" s="71">
        <v>3</v>
      </c>
      <c r="H84" s="71">
        <v>3</v>
      </c>
      <c r="I84" s="71">
        <v>3</v>
      </c>
      <c r="J84" s="71">
        <v>2</v>
      </c>
      <c r="K84" s="23"/>
      <c r="L84" s="23"/>
    </row>
    <row r="85" spans="2:16" s="24" customFormat="1" ht="18" customHeight="1" thickBot="1">
      <c r="B85" s="69">
        <v>73</v>
      </c>
      <c r="C85" s="128" t="s">
        <v>231</v>
      </c>
      <c r="D85" s="129" t="s">
        <v>232</v>
      </c>
      <c r="E85" s="71">
        <v>3</v>
      </c>
      <c r="F85" s="71">
        <v>3</v>
      </c>
      <c r="G85" s="71">
        <v>3</v>
      </c>
      <c r="H85" s="71">
        <v>3</v>
      </c>
      <c r="I85" s="162">
        <v>3</v>
      </c>
      <c r="J85" s="162">
        <v>3</v>
      </c>
      <c r="K85" s="23"/>
      <c r="L85" s="23"/>
    </row>
    <row r="86" spans="2:16" s="24" customFormat="1" ht="18" customHeight="1" thickBot="1">
      <c r="B86" s="69">
        <v>74</v>
      </c>
      <c r="C86" s="128" t="s">
        <v>233</v>
      </c>
      <c r="D86" s="129" t="s">
        <v>234</v>
      </c>
      <c r="E86" s="71">
        <v>3</v>
      </c>
      <c r="F86" s="71">
        <v>3</v>
      </c>
      <c r="G86" s="71">
        <v>3</v>
      </c>
      <c r="H86" s="71">
        <v>3</v>
      </c>
      <c r="I86" s="71">
        <v>3</v>
      </c>
      <c r="J86" s="71">
        <v>3</v>
      </c>
      <c r="K86" s="23"/>
      <c r="L86" s="23"/>
    </row>
    <row r="87" spans="2:16" s="24" customFormat="1" ht="18" customHeight="1" thickBot="1">
      <c r="B87" s="69">
        <v>75</v>
      </c>
      <c r="C87" s="128" t="s">
        <v>235</v>
      </c>
      <c r="D87" s="129" t="s">
        <v>236</v>
      </c>
      <c r="E87" s="71">
        <v>3</v>
      </c>
      <c r="F87" s="71">
        <v>3</v>
      </c>
      <c r="G87" s="71">
        <v>3</v>
      </c>
      <c r="H87" s="71">
        <v>3</v>
      </c>
      <c r="I87" s="162">
        <v>3</v>
      </c>
      <c r="J87" s="162">
        <v>3</v>
      </c>
      <c r="K87" s="23"/>
      <c r="L87" s="23"/>
    </row>
    <row r="88" spans="2:16" s="24" customFormat="1" ht="18" customHeight="1" thickBot="1">
      <c r="B88" s="69">
        <v>76</v>
      </c>
      <c r="C88" s="128" t="s">
        <v>237</v>
      </c>
      <c r="D88" s="129" t="s">
        <v>238</v>
      </c>
      <c r="E88" s="71">
        <v>3</v>
      </c>
      <c r="F88" s="71">
        <v>3</v>
      </c>
      <c r="G88" s="71">
        <v>3</v>
      </c>
      <c r="H88" s="71">
        <v>3</v>
      </c>
      <c r="I88" s="162">
        <v>3</v>
      </c>
      <c r="J88" s="162">
        <v>3</v>
      </c>
      <c r="K88" s="23"/>
      <c r="L88" s="23"/>
    </row>
    <row r="89" spans="2:16" s="24" customFormat="1" ht="18" customHeight="1" thickBot="1">
      <c r="B89" s="69">
        <v>77</v>
      </c>
      <c r="C89" s="128" t="s">
        <v>239</v>
      </c>
      <c r="D89" s="129" t="s">
        <v>240</v>
      </c>
      <c r="E89" s="71">
        <v>3</v>
      </c>
      <c r="F89" s="71">
        <v>3</v>
      </c>
      <c r="G89" s="71">
        <v>3</v>
      </c>
      <c r="H89" s="71">
        <v>3</v>
      </c>
      <c r="I89" s="162">
        <v>3</v>
      </c>
      <c r="J89" s="162">
        <v>3</v>
      </c>
      <c r="K89" s="23"/>
      <c r="L89" s="23"/>
    </row>
    <row r="90" spans="2:16" s="24" customFormat="1" ht="18" customHeight="1" thickBot="1">
      <c r="B90" s="69">
        <v>78</v>
      </c>
      <c r="C90" s="128" t="s">
        <v>241</v>
      </c>
      <c r="D90" s="129" t="s">
        <v>242</v>
      </c>
      <c r="E90" s="71">
        <v>3</v>
      </c>
      <c r="F90" s="71">
        <v>3</v>
      </c>
      <c r="G90" s="71">
        <v>3</v>
      </c>
      <c r="H90" s="71">
        <v>3</v>
      </c>
      <c r="I90" s="162">
        <v>3</v>
      </c>
      <c r="J90" s="162">
        <v>3</v>
      </c>
      <c r="K90" s="23"/>
      <c r="L90" s="23"/>
    </row>
    <row r="91" spans="2:16" s="24" customFormat="1" ht="18" customHeight="1" thickBot="1">
      <c r="B91" s="69">
        <v>79</v>
      </c>
      <c r="C91" s="128" t="s">
        <v>243</v>
      </c>
      <c r="D91" s="129" t="s">
        <v>244</v>
      </c>
      <c r="E91" s="162"/>
      <c r="F91" s="162"/>
      <c r="G91" s="162"/>
      <c r="H91" s="162"/>
      <c r="I91" s="162"/>
      <c r="J91" s="162"/>
      <c r="K91" s="23"/>
      <c r="L91" s="23"/>
    </row>
    <row r="92" spans="2:16" s="24" customFormat="1" ht="18" customHeight="1" thickBot="1">
      <c r="B92" s="69">
        <v>80</v>
      </c>
      <c r="C92" s="128" t="s">
        <v>245</v>
      </c>
      <c r="D92" s="129" t="s">
        <v>246</v>
      </c>
      <c r="E92" s="162"/>
      <c r="F92" s="162"/>
      <c r="G92" s="162"/>
      <c r="H92" s="162"/>
      <c r="I92" s="162"/>
      <c r="J92" s="162"/>
      <c r="K92" s="23"/>
      <c r="L92" s="23"/>
    </row>
    <row r="93" spans="2:16" s="24" customFormat="1" ht="18" customHeight="1" thickBot="1">
      <c r="B93" s="69">
        <v>81</v>
      </c>
      <c r="C93" s="128" t="s">
        <v>247</v>
      </c>
      <c r="D93" s="129" t="s">
        <v>248</v>
      </c>
      <c r="E93" s="71">
        <v>3</v>
      </c>
      <c r="F93" s="71">
        <v>3</v>
      </c>
      <c r="G93" s="71">
        <v>3</v>
      </c>
      <c r="H93" s="71">
        <v>3</v>
      </c>
      <c r="I93" s="162">
        <v>3</v>
      </c>
      <c r="J93" s="162">
        <v>3</v>
      </c>
      <c r="K93" s="23"/>
      <c r="L93" s="23"/>
    </row>
    <row r="94" spans="2:16" ht="15.75">
      <c r="B94" s="41"/>
      <c r="C94" s="204" t="s">
        <v>25</v>
      </c>
      <c r="D94" s="204"/>
      <c r="E94" s="38">
        <f t="shared" ref="E94:J94" si="0">COUNT(E13:E93)</f>
        <v>68</v>
      </c>
      <c r="F94" s="38">
        <f t="shared" si="0"/>
        <v>68</v>
      </c>
      <c r="G94" s="38">
        <f t="shared" si="0"/>
        <v>69</v>
      </c>
      <c r="H94" s="38">
        <f t="shared" si="0"/>
        <v>69</v>
      </c>
      <c r="I94" s="38">
        <f t="shared" si="0"/>
        <v>69</v>
      </c>
      <c r="J94" s="38">
        <f t="shared" si="0"/>
        <v>69</v>
      </c>
    </row>
    <row r="95" spans="2:16" ht="41.25" customHeight="1">
      <c r="B95" s="41"/>
      <c r="C95" s="56" t="s">
        <v>38</v>
      </c>
      <c r="D95" s="56" t="s">
        <v>38</v>
      </c>
      <c r="E95" s="53">
        <f t="shared" ref="E95:J95" si="1">AVERAGE(E13:E93)</f>
        <v>2.8823529411764706</v>
      </c>
      <c r="F95" s="53">
        <f t="shared" si="1"/>
        <v>2.8235294117647061</v>
      </c>
      <c r="G95" s="53">
        <f t="shared" si="1"/>
        <v>2.8550724637681157</v>
      </c>
      <c r="H95" s="53">
        <f t="shared" si="1"/>
        <v>2.8405797101449277</v>
      </c>
      <c r="I95" s="53">
        <f t="shared" si="1"/>
        <v>2.8115942028985508</v>
      </c>
      <c r="J95" s="53">
        <f t="shared" si="1"/>
        <v>2.7971014492753623</v>
      </c>
    </row>
    <row r="96" spans="2:16" ht="41.25" customHeight="1">
      <c r="B96" s="41"/>
      <c r="C96" s="54" t="s">
        <v>39</v>
      </c>
      <c r="D96" s="54" t="s">
        <v>39</v>
      </c>
      <c r="E96" s="54">
        <f>((E95*100)/3)</f>
        <v>96.078431372549019</v>
      </c>
      <c r="F96" s="54">
        <f>((F95*100)/3)</f>
        <v>94.117647058823536</v>
      </c>
      <c r="G96" s="54">
        <f>(G95*100/3)</f>
        <v>95.16908212560385</v>
      </c>
      <c r="H96" s="54">
        <f>H95*100/3</f>
        <v>94.685990338164245</v>
      </c>
      <c r="I96" s="54">
        <f>I95*100/3</f>
        <v>93.719806763285021</v>
      </c>
      <c r="J96" s="54">
        <f>J95*100/3</f>
        <v>93.236714975845416</v>
      </c>
    </row>
    <row r="97" spans="2:10" ht="40.5">
      <c r="B97" s="41"/>
      <c r="C97" s="54" t="s">
        <v>40</v>
      </c>
      <c r="D97" s="54" t="s">
        <v>40</v>
      </c>
      <c r="E97" s="205">
        <f>AVERAGE(E96:J96)</f>
        <v>94.501278772378512</v>
      </c>
      <c r="F97" s="205"/>
      <c r="G97" s="205"/>
      <c r="H97" s="205"/>
      <c r="I97" s="205"/>
      <c r="J97" s="205"/>
    </row>
    <row r="98" spans="2:10" ht="37.5" customHeight="1">
      <c r="B98" s="41"/>
      <c r="C98" s="55" t="s">
        <v>41</v>
      </c>
      <c r="D98" s="55" t="s">
        <v>41</v>
      </c>
      <c r="E98" s="192">
        <v>3</v>
      </c>
      <c r="F98" s="193"/>
      <c r="G98" s="193"/>
      <c r="H98" s="193"/>
      <c r="I98" s="193"/>
      <c r="J98" s="194"/>
    </row>
    <row r="99" spans="2:10">
      <c r="G99" s="28"/>
    </row>
  </sheetData>
  <mergeCells count="13">
    <mergeCell ref="B10:B12"/>
    <mergeCell ref="C10:C12"/>
    <mergeCell ref="D10:D12"/>
    <mergeCell ref="C94:D94"/>
    <mergeCell ref="E97:J97"/>
    <mergeCell ref="E98:J98"/>
    <mergeCell ref="E10:J11"/>
    <mergeCell ref="C2:G2"/>
    <mergeCell ref="C4:D4"/>
    <mergeCell ref="C8:G8"/>
    <mergeCell ref="H4:J4"/>
    <mergeCell ref="H5:J5"/>
    <mergeCell ref="H6:J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6:P27"/>
  <sheetViews>
    <sheetView topLeftCell="C10" workbookViewId="0">
      <selection activeCell="E24" sqref="E24:P24"/>
    </sheetView>
  </sheetViews>
  <sheetFormatPr defaultRowHeight="15"/>
  <cols>
    <col min="6" max="6" width="10.28515625" bestFit="1" customWidth="1"/>
  </cols>
  <sheetData>
    <row r="6" spans="4:16" ht="18.75">
      <c r="D6" s="58" t="s">
        <v>47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</row>
    <row r="7" spans="4:16"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</row>
    <row r="8" spans="4:16" ht="15.75">
      <c r="D8" s="204" t="s">
        <v>48</v>
      </c>
      <c r="E8" s="204" t="s">
        <v>49</v>
      </c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spans="4:16" ht="16.5" thickBot="1">
      <c r="D9" s="204"/>
      <c r="E9" s="48" t="s">
        <v>50</v>
      </c>
      <c r="F9" s="48" t="s">
        <v>51</v>
      </c>
      <c r="G9" s="48" t="s">
        <v>52</v>
      </c>
      <c r="H9" s="48" t="s">
        <v>53</v>
      </c>
      <c r="I9" s="48" t="s">
        <v>54</v>
      </c>
      <c r="J9" s="48" t="s">
        <v>55</v>
      </c>
      <c r="K9" s="57" t="s">
        <v>56</v>
      </c>
      <c r="L9" s="57" t="s">
        <v>57</v>
      </c>
      <c r="M9" s="57" t="s">
        <v>58</v>
      </c>
      <c r="N9" s="57" t="s">
        <v>59</v>
      </c>
      <c r="O9" s="57" t="s">
        <v>60</v>
      </c>
      <c r="P9" s="57" t="s">
        <v>61</v>
      </c>
    </row>
    <row r="10" spans="4:16" ht="16.5" thickBot="1">
      <c r="D10" s="112" t="s">
        <v>154</v>
      </c>
      <c r="E10" s="89">
        <v>2</v>
      </c>
      <c r="F10" s="90">
        <v>3</v>
      </c>
      <c r="G10" s="90">
        <v>2</v>
      </c>
      <c r="H10" s="90">
        <v>2</v>
      </c>
      <c r="I10" s="90" t="s">
        <v>62</v>
      </c>
      <c r="J10" s="90" t="s">
        <v>62</v>
      </c>
      <c r="K10" s="90" t="s">
        <v>62</v>
      </c>
      <c r="L10" s="90" t="s">
        <v>62</v>
      </c>
      <c r="M10" s="90">
        <v>1</v>
      </c>
      <c r="N10" s="90" t="s">
        <v>62</v>
      </c>
      <c r="O10" s="90" t="s">
        <v>62</v>
      </c>
      <c r="P10" s="90">
        <v>1</v>
      </c>
    </row>
    <row r="11" spans="4:16" ht="16.5" thickBot="1">
      <c r="D11" s="113" t="s">
        <v>155</v>
      </c>
      <c r="E11" s="91">
        <v>2</v>
      </c>
      <c r="F11" s="92">
        <v>2</v>
      </c>
      <c r="G11" s="92">
        <v>1</v>
      </c>
      <c r="H11" s="92">
        <v>2</v>
      </c>
      <c r="I11" s="92" t="s">
        <v>62</v>
      </c>
      <c r="J11" s="92">
        <v>2</v>
      </c>
      <c r="K11" s="92" t="s">
        <v>62</v>
      </c>
      <c r="L11" s="92" t="s">
        <v>62</v>
      </c>
      <c r="M11" s="92">
        <v>1</v>
      </c>
      <c r="N11" s="92" t="s">
        <v>62</v>
      </c>
      <c r="O11" s="92" t="s">
        <v>62</v>
      </c>
      <c r="P11" s="92">
        <v>1</v>
      </c>
    </row>
    <row r="12" spans="4:16" ht="16.5" thickBot="1">
      <c r="D12" s="113" t="s">
        <v>156</v>
      </c>
      <c r="E12" s="91">
        <v>2</v>
      </c>
      <c r="F12" s="92">
        <v>2</v>
      </c>
      <c r="G12" s="92">
        <v>2</v>
      </c>
      <c r="H12" s="92">
        <v>2</v>
      </c>
      <c r="I12" s="92" t="s">
        <v>62</v>
      </c>
      <c r="J12" s="92">
        <v>2</v>
      </c>
      <c r="K12" s="92" t="s">
        <v>62</v>
      </c>
      <c r="L12" s="92" t="s">
        <v>62</v>
      </c>
      <c r="M12" s="92">
        <v>1</v>
      </c>
      <c r="N12" s="92" t="s">
        <v>62</v>
      </c>
      <c r="O12" s="92" t="s">
        <v>62</v>
      </c>
      <c r="P12" s="92">
        <v>1</v>
      </c>
    </row>
    <row r="13" spans="4:16" ht="16.5" thickBot="1">
      <c r="D13" s="113" t="s">
        <v>157</v>
      </c>
      <c r="E13" s="91">
        <v>2</v>
      </c>
      <c r="F13" s="92">
        <v>2</v>
      </c>
      <c r="G13" s="92">
        <v>2</v>
      </c>
      <c r="H13" s="92">
        <v>2</v>
      </c>
      <c r="I13" s="92">
        <v>2</v>
      </c>
      <c r="J13" s="92" t="s">
        <v>62</v>
      </c>
      <c r="K13" s="92" t="s">
        <v>62</v>
      </c>
      <c r="L13" s="92" t="s">
        <v>62</v>
      </c>
      <c r="M13" s="92">
        <v>1</v>
      </c>
      <c r="N13" s="92" t="s">
        <v>62</v>
      </c>
      <c r="O13" s="92" t="s">
        <v>62</v>
      </c>
      <c r="P13" s="92">
        <v>1</v>
      </c>
    </row>
    <row r="14" spans="4:16" ht="16.5" thickBot="1">
      <c r="D14" s="113" t="s">
        <v>158</v>
      </c>
      <c r="E14" s="91">
        <v>2</v>
      </c>
      <c r="F14" s="92">
        <v>2</v>
      </c>
      <c r="G14" s="92">
        <v>2</v>
      </c>
      <c r="H14" s="92">
        <v>2</v>
      </c>
      <c r="I14" s="92">
        <v>2</v>
      </c>
      <c r="J14" s="92" t="s">
        <v>62</v>
      </c>
      <c r="K14" s="92" t="s">
        <v>62</v>
      </c>
      <c r="L14" s="92" t="s">
        <v>62</v>
      </c>
      <c r="M14" s="92">
        <v>1</v>
      </c>
      <c r="N14" s="92" t="s">
        <v>62</v>
      </c>
      <c r="O14" s="92" t="s">
        <v>62</v>
      </c>
      <c r="P14" s="92">
        <v>1</v>
      </c>
    </row>
    <row r="15" spans="4:16" ht="16.5" thickBot="1">
      <c r="D15" s="113" t="s">
        <v>159</v>
      </c>
      <c r="E15" s="91">
        <v>2</v>
      </c>
      <c r="F15" s="92">
        <v>2</v>
      </c>
      <c r="G15" s="92">
        <v>2</v>
      </c>
      <c r="H15" s="92">
        <v>2</v>
      </c>
      <c r="I15" s="92">
        <v>2</v>
      </c>
      <c r="J15" s="92" t="s">
        <v>62</v>
      </c>
      <c r="K15" s="92" t="s">
        <v>62</v>
      </c>
      <c r="L15" s="92" t="s">
        <v>62</v>
      </c>
      <c r="M15" s="92">
        <v>1</v>
      </c>
      <c r="N15" s="92" t="s">
        <v>62</v>
      </c>
      <c r="O15" s="92" t="s">
        <v>62</v>
      </c>
      <c r="P15" s="92">
        <v>1</v>
      </c>
    </row>
    <row r="16" spans="4:16" ht="16.5" thickBot="1">
      <c r="D16" s="113" t="s">
        <v>160</v>
      </c>
      <c r="E16" s="60">
        <v>2</v>
      </c>
      <c r="F16" s="60">
        <f>AVERAGE(F10:F15)</f>
        <v>2.1666666666666665</v>
      </c>
      <c r="G16" s="60">
        <f t="shared" ref="G16:J16" si="0">AVERAGE(G10:G15)</f>
        <v>1.8333333333333333</v>
      </c>
      <c r="H16" s="60">
        <f t="shared" si="0"/>
        <v>2</v>
      </c>
      <c r="I16" s="60">
        <f t="shared" si="0"/>
        <v>2</v>
      </c>
      <c r="J16" s="60">
        <f t="shared" si="0"/>
        <v>2</v>
      </c>
      <c r="K16" s="92" t="s">
        <v>62</v>
      </c>
      <c r="L16" s="92" t="s">
        <v>62</v>
      </c>
      <c r="M16" s="60">
        <f t="shared" ref="M16" si="1">AVERAGE(M10:M15)</f>
        <v>1</v>
      </c>
      <c r="N16" s="92" t="s">
        <v>62</v>
      </c>
      <c r="O16" s="92" t="s">
        <v>62</v>
      </c>
      <c r="P16" s="60">
        <f t="shared" ref="P16" si="2">AVERAGE(P10:P15)</f>
        <v>1</v>
      </c>
    </row>
    <row r="17" spans="3:16"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</row>
    <row r="18" spans="3:16" ht="15.75">
      <c r="C18" s="59"/>
      <c r="D18" s="97" t="s">
        <v>63</v>
      </c>
      <c r="E18" s="98"/>
      <c r="F18" s="98"/>
      <c r="G18" s="97">
        <v>2.2799999999999998</v>
      </c>
      <c r="H18" s="98"/>
      <c r="I18" s="98"/>
      <c r="J18" s="98"/>
      <c r="K18" s="98"/>
      <c r="L18" s="98"/>
      <c r="M18" s="98"/>
      <c r="N18" s="98"/>
      <c r="O18" s="98"/>
      <c r="P18" s="98"/>
    </row>
    <row r="19" spans="3:16">
      <c r="C19" s="59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</row>
    <row r="20" spans="3:16" ht="18.75">
      <c r="C20" s="59"/>
      <c r="D20" s="99" t="s">
        <v>64</v>
      </c>
      <c r="E20" s="99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3:16">
      <c r="C21" s="59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</row>
    <row r="22" spans="3:16" ht="15.75">
      <c r="C22" s="59"/>
      <c r="D22" s="206" t="s">
        <v>48</v>
      </c>
      <c r="E22" s="208" t="s">
        <v>49</v>
      </c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10"/>
    </row>
    <row r="23" spans="3:16" ht="15.75">
      <c r="C23" s="59"/>
      <c r="D23" s="207"/>
      <c r="E23" s="21" t="s">
        <v>50</v>
      </c>
      <c r="F23" s="21" t="s">
        <v>51</v>
      </c>
      <c r="G23" s="21" t="s">
        <v>52</v>
      </c>
      <c r="H23" s="21" t="s">
        <v>53</v>
      </c>
      <c r="I23" s="21" t="s">
        <v>54</v>
      </c>
      <c r="J23" s="21" t="s">
        <v>55</v>
      </c>
      <c r="K23" s="21" t="s">
        <v>56</v>
      </c>
      <c r="L23" s="21" t="s">
        <v>57</v>
      </c>
      <c r="M23" s="21" t="s">
        <v>58</v>
      </c>
      <c r="N23" s="21" t="s">
        <v>59</v>
      </c>
      <c r="O23" s="21" t="s">
        <v>60</v>
      </c>
      <c r="P23" s="21" t="s">
        <v>61</v>
      </c>
    </row>
    <row r="24" spans="3:16" ht="16.5" thickBot="1">
      <c r="C24" s="59"/>
      <c r="D24" s="21" t="s">
        <v>160</v>
      </c>
      <c r="E24" s="100">
        <f>(E16*$G$18)/3</f>
        <v>1.5199999999999998</v>
      </c>
      <c r="F24" s="100">
        <f t="shared" ref="F24:P24" si="3">(F16*$G$18)/3</f>
        <v>1.6466666666666665</v>
      </c>
      <c r="G24" s="100">
        <f t="shared" si="3"/>
        <v>1.3933333333333333</v>
      </c>
      <c r="H24" s="100">
        <f t="shared" si="3"/>
        <v>1.5199999999999998</v>
      </c>
      <c r="I24" s="100">
        <f t="shared" si="3"/>
        <v>1.5199999999999998</v>
      </c>
      <c r="J24" s="100">
        <f t="shared" si="3"/>
        <v>1.5199999999999998</v>
      </c>
      <c r="K24" s="101" t="s">
        <v>62</v>
      </c>
      <c r="L24" s="101" t="s">
        <v>62</v>
      </c>
      <c r="M24" s="100">
        <f t="shared" si="3"/>
        <v>0.7599999999999999</v>
      </c>
      <c r="N24" s="101" t="s">
        <v>62</v>
      </c>
      <c r="O24" s="101" t="s">
        <v>62</v>
      </c>
      <c r="P24" s="100">
        <f t="shared" si="3"/>
        <v>0.7599999999999999</v>
      </c>
    </row>
    <row r="25" spans="3:16"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3:16"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3:16"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</sheetData>
  <mergeCells count="4">
    <mergeCell ref="D8:D9"/>
    <mergeCell ref="E8:P8"/>
    <mergeCell ref="D22:D23"/>
    <mergeCell ref="E22:P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4:H20"/>
  <sheetViews>
    <sheetView topLeftCell="A7" workbookViewId="0">
      <selection activeCell="E19" sqref="E19:G19"/>
    </sheetView>
  </sheetViews>
  <sheetFormatPr defaultRowHeight="15"/>
  <sheetData>
    <row r="4" spans="2:8" ht="18.75">
      <c r="D4" s="62"/>
      <c r="E4" s="63" t="s">
        <v>65</v>
      </c>
      <c r="F4" s="62"/>
      <c r="G4" s="62"/>
    </row>
    <row r="5" spans="2:8">
      <c r="D5" s="62"/>
      <c r="E5" s="62"/>
      <c r="F5" s="62"/>
      <c r="G5" s="62"/>
    </row>
    <row r="6" spans="2:8">
      <c r="D6" s="211" t="s">
        <v>48</v>
      </c>
      <c r="E6" s="213" t="s">
        <v>66</v>
      </c>
      <c r="F6" s="214"/>
      <c r="G6" s="215"/>
    </row>
    <row r="7" spans="2:8" ht="16.5" thickBot="1">
      <c r="D7" s="212"/>
      <c r="E7" s="64" t="s">
        <v>67</v>
      </c>
      <c r="F7" s="64" t="s">
        <v>68</v>
      </c>
      <c r="G7" s="64" t="s">
        <v>69</v>
      </c>
    </row>
    <row r="8" spans="2:8" ht="16.5" thickBot="1">
      <c r="D8" s="112" t="s">
        <v>154</v>
      </c>
      <c r="E8" s="93">
        <v>2</v>
      </c>
      <c r="F8" s="94" t="s">
        <v>62</v>
      </c>
      <c r="G8" s="94" t="s">
        <v>62</v>
      </c>
    </row>
    <row r="9" spans="2:8" ht="16.5" thickBot="1">
      <c r="D9" s="113" t="s">
        <v>155</v>
      </c>
      <c r="E9" s="95">
        <v>2</v>
      </c>
      <c r="F9" s="96" t="s">
        <v>62</v>
      </c>
      <c r="G9" s="96" t="s">
        <v>62</v>
      </c>
    </row>
    <row r="10" spans="2:8" ht="16.5" thickBot="1">
      <c r="D10" s="113" t="s">
        <v>156</v>
      </c>
      <c r="E10" s="95">
        <v>2</v>
      </c>
      <c r="F10" s="96" t="s">
        <v>62</v>
      </c>
      <c r="G10" s="96" t="s">
        <v>62</v>
      </c>
    </row>
    <row r="11" spans="2:8" ht="16.5" thickBot="1">
      <c r="D11" s="113" t="s">
        <v>157</v>
      </c>
      <c r="E11" s="95">
        <v>2</v>
      </c>
      <c r="F11" s="96" t="s">
        <v>62</v>
      </c>
      <c r="G11" s="96">
        <v>2</v>
      </c>
    </row>
    <row r="12" spans="2:8" ht="16.5" thickBot="1">
      <c r="D12" s="113" t="s">
        <v>158</v>
      </c>
      <c r="E12" s="95">
        <v>2</v>
      </c>
      <c r="F12" s="96" t="s">
        <v>62</v>
      </c>
      <c r="G12" s="96" t="s">
        <v>62</v>
      </c>
    </row>
    <row r="13" spans="2:8" ht="16.5" thickBot="1">
      <c r="D13" s="113" t="s">
        <v>159</v>
      </c>
      <c r="E13" s="95">
        <v>2</v>
      </c>
      <c r="F13" s="96" t="s">
        <v>62</v>
      </c>
      <c r="G13" s="96">
        <v>2</v>
      </c>
    </row>
    <row r="14" spans="2:8" ht="16.5" thickBot="1">
      <c r="D14" s="113" t="s">
        <v>160</v>
      </c>
      <c r="E14" s="65">
        <v>2</v>
      </c>
      <c r="F14" s="96" t="s">
        <v>62</v>
      </c>
      <c r="G14" s="65">
        <v>2</v>
      </c>
    </row>
    <row r="15" spans="2:8">
      <c r="D15" s="62"/>
      <c r="E15" s="62"/>
      <c r="F15" s="62"/>
      <c r="G15" s="62"/>
    </row>
    <row r="16" spans="2:8" ht="15.75">
      <c r="B16" s="59"/>
      <c r="C16" s="59"/>
      <c r="D16" s="102" t="s">
        <v>63</v>
      </c>
      <c r="E16" s="103"/>
      <c r="F16" s="103"/>
      <c r="G16" s="102">
        <v>2.2799999999999998</v>
      </c>
      <c r="H16" s="59"/>
    </row>
    <row r="17" spans="2:8" ht="15.75" thickBot="1">
      <c r="B17" s="59"/>
      <c r="C17" s="59"/>
      <c r="D17" s="103"/>
      <c r="E17" s="103"/>
      <c r="F17" s="103"/>
      <c r="G17" s="103"/>
      <c r="H17" s="59"/>
    </row>
    <row r="18" spans="2:8" ht="16.5" thickBot="1">
      <c r="B18" s="59"/>
      <c r="C18" s="59"/>
      <c r="D18" s="104" t="s">
        <v>70</v>
      </c>
      <c r="E18" s="105" t="s">
        <v>67</v>
      </c>
      <c r="F18" s="105" t="s">
        <v>68</v>
      </c>
      <c r="G18" s="105" t="s">
        <v>69</v>
      </c>
      <c r="H18" s="59"/>
    </row>
    <row r="19" spans="2:8" ht="16.5" thickBot="1">
      <c r="B19" s="59"/>
      <c r="C19" s="59"/>
      <c r="D19" s="106" t="s">
        <v>160</v>
      </c>
      <c r="E19" s="107">
        <f>(E14*$G$16)/3</f>
        <v>1.5199999999999998</v>
      </c>
      <c r="F19" s="101" t="s">
        <v>62</v>
      </c>
      <c r="G19" s="107">
        <f t="shared" ref="G19" si="0">(G14*$G$16)/3</f>
        <v>1.5199999999999998</v>
      </c>
      <c r="H19" s="59"/>
    </row>
    <row r="20" spans="2:8">
      <c r="B20" s="59"/>
      <c r="C20" s="59"/>
      <c r="D20" s="59"/>
      <c r="E20" s="59"/>
      <c r="F20" s="59"/>
      <c r="G20" s="59"/>
      <c r="H20" s="59"/>
    </row>
  </sheetData>
  <mergeCells count="2">
    <mergeCell ref="D6:D7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University TH Marks</vt:lpstr>
      <vt:lpstr>Internal Assessment marks</vt:lpstr>
      <vt:lpstr>Course Exit survey</vt:lpstr>
      <vt:lpstr>CO Attainment</vt:lpstr>
      <vt:lpstr>PSO Attainment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LAB028</cp:lastModifiedBy>
  <dcterms:created xsi:type="dcterms:W3CDTF">2018-04-30T09:40:14Z</dcterms:created>
  <dcterms:modified xsi:type="dcterms:W3CDTF">2023-10-10T20:11:18Z</dcterms:modified>
</cp:coreProperties>
</file>